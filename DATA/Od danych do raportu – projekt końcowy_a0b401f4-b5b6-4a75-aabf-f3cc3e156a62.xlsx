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812c50603d5ce7/PFP/Arkusze dla kursantów/"/>
    </mc:Choice>
  </mc:AlternateContent>
  <xr:revisionPtr revIDLastSave="53" documentId="8_{ADAC0F4E-574E-4B6A-B507-F710E049796F}" xr6:coauthVersionLast="47" xr6:coauthVersionMax="47" xr10:uidLastSave="{25711622-0550-425C-AD29-E6737A83D808}"/>
  <bookViews>
    <workbookView xWindow="-108" yWindow="-108" windowWidth="23256" windowHeight="12456" xr2:uid="{870E5987-AA84-4173-AD82-3E9B0A081F4E}"/>
  </bookViews>
  <sheets>
    <sheet name="Strona tytułowa" sheetId="5" r:id="rId1"/>
    <sheet name="Raport" sheetId="4" r:id="rId2"/>
    <sheet name="Cel" sheetId="2" r:id="rId3"/>
    <sheet name="Analza" sheetId="3" r:id="rId4"/>
    <sheet name="Dane" sheetId="1" r:id="rId5"/>
    <sheet name="Ściąga" sheetId="6" r:id="rId6"/>
  </sheets>
  <externalReferences>
    <externalReference r:id="rId7"/>
    <externalReference r:id="rId8"/>
  </externalReferences>
  <definedNames>
    <definedName name="war">#REF!</definedName>
    <definedName name="zad_AT1">[2]Arkusz1!$F$66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1" i="5" l="1"/>
  <c r="W20" i="5"/>
  <c r="W19" i="5"/>
  <c r="W17" i="5"/>
</calcChain>
</file>

<file path=xl/sharedStrings.xml><?xml version="1.0" encoding="utf-8"?>
<sst xmlns="http://schemas.openxmlformats.org/spreadsheetml/2006/main" count="54" uniqueCount="54">
  <si>
    <t>Operator</t>
  </si>
  <si>
    <t>Data</t>
  </si>
  <si>
    <t>Połączenia</t>
  </si>
  <si>
    <t>Czas trwania (sek.)</t>
  </si>
  <si>
    <t>Skuteczne połączenia</t>
  </si>
  <si>
    <t>Konwersja</t>
  </si>
  <si>
    <t>Wartość sprzedaży (pln)</t>
  </si>
  <si>
    <t>Zbuduj raport który:</t>
  </si>
  <si>
    <t>Pokaże 4 wskaźniki u góry (liczbę połączeń, liczbę skutecznych połączeń, liczbę zawartych umów, wartość sprzedaży)</t>
  </si>
  <si>
    <t>Zawarte umowy</t>
  </si>
  <si>
    <t>Na raporcie widoczna będzie tabela przestawna z polami z pkt1. widocznymi dla każdego ze sprzedawców</t>
  </si>
  <si>
    <t>Tabele z punktu 3 ma nie filtorwać się z użyciem fragmentatora z pkt 2</t>
  </si>
  <si>
    <t>Tabela z punktu 3 będzie mieć formatowanie warunkowe z użyciem pasków danych</t>
  </si>
  <si>
    <t xml:space="preserve">Dodaj wykresy: </t>
  </si>
  <si>
    <t>b) Sumaryczną wartością sprzedaży w rozbiciu na miesiące</t>
  </si>
  <si>
    <t>a) Kolumnowy z sumą skutecznych telefonów oraz sumą zawartych umów- oba w rozbiciu na miesiące</t>
  </si>
  <si>
    <t>c) Średnim czasem trwania połączenia w rozbiciu na miesiące</t>
  </si>
  <si>
    <t>Te 4 wskaźniki będą mogły być filtrowane z użyciem fragmentatora - wykorzystaj ikony</t>
  </si>
  <si>
    <t>Anna</t>
  </si>
  <si>
    <t>Michał</t>
  </si>
  <si>
    <t>Katarzyna</t>
  </si>
  <si>
    <t>Piotr</t>
  </si>
  <si>
    <t>Joanna</t>
  </si>
  <si>
    <t>Tomasz</t>
  </si>
  <si>
    <t>Magdalena</t>
  </si>
  <si>
    <t>Paweł</t>
  </si>
  <si>
    <t>Aleksandra</t>
  </si>
  <si>
    <t>Marcin</t>
  </si>
  <si>
    <t>Natalia</t>
  </si>
  <si>
    <t>Jakub</t>
  </si>
  <si>
    <t>Agnieszka</t>
  </si>
  <si>
    <t>Mateusz</t>
  </si>
  <si>
    <t>Monika</t>
  </si>
  <si>
    <t>Krzysztof</t>
  </si>
  <si>
    <t>Karolina</t>
  </si>
  <si>
    <t>Łukasz</t>
  </si>
  <si>
    <t>Marta</t>
  </si>
  <si>
    <t>Adam</t>
  </si>
  <si>
    <t>Paulina</t>
  </si>
  <si>
    <t>Kamil</t>
  </si>
  <si>
    <t>Ewa</t>
  </si>
  <si>
    <t>Wojciech</t>
  </si>
  <si>
    <t>Dominika</t>
  </si>
  <si>
    <t>Rafał</t>
  </si>
  <si>
    <t>Zastanów się, co można poprawić i wprowadź poprawki</t>
  </si>
  <si>
    <t>⛱️ Wakacyjny Excel ⛱️</t>
  </si>
  <si>
    <t>Prowadzący:</t>
  </si>
  <si>
    <t>Bartłomiej Samel</t>
  </si>
  <si>
    <t>Microsoft Office Specialist - Excel</t>
  </si>
  <si>
    <t>https://umio.to</t>
  </si>
  <si>
    <t>www.ogarnijkomorki.pl</t>
  </si>
  <si>
    <t>© Polska Fundacja Przedsiębiorczości, wszelkie prawa zastzreżone</t>
  </si>
  <si>
    <t>Od danych do raportu – projekt końcowy</t>
  </si>
  <si>
    <t>https://preview.mailerlite.io/preview/583463/sites/195680129511327095/ogarnij-komorki-6s2gbv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</si>
</sst>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8"/>
      <color rgb="FF000000"/>
      <name val="Arial"/>
      <family val="2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26"/>
      <color theme="10"/>
      <name val="Aptos Narrow"/>
      <family val="2"/>
      <scheme val="minor"/>
    </font>
    <font>
      <b/>
      <u/>
      <sz val="26"/>
      <color theme="10"/>
      <name val="Aptos Narrow"/>
      <family val="2"/>
      <charset val="238"/>
      <scheme val="minor"/>
    </font>
    <font>
      <u/>
      <sz val="26"/>
      <color theme="10"/>
      <name val="Aptos Narrow"/>
      <family val="2"/>
      <scheme val="minor"/>
    </font>
    <font>
      <i/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1" applyAlignment="1">
      <alignment horizontal="center"/>
    </xf>
    <xf numFmtId="0" fontId="2" fillId="2" borderId="0" xfId="1" applyAlignment="1"/>
    <xf numFmtId="0" fontId="2" fillId="0" borderId="0" xfId="1" applyFill="1" applyAlignment="1"/>
    <xf numFmtId="0" fontId="0" fillId="0" borderId="0" xfId="0" applyFill="1"/>
    <xf numFmtId="0" fontId="5" fillId="0" borderId="0" xfId="3" applyFont="1"/>
    <xf numFmtId="0" fontId="4" fillId="0" borderId="0" xfId="3"/>
    <xf numFmtId="0" fontId="6" fillId="0" borderId="0" xfId="4" applyFont="1"/>
    <xf numFmtId="0" fontId="7" fillId="0" borderId="0" xfId="3" applyFont="1"/>
    <xf numFmtId="0" fontId="1" fillId="0" borderId="0" xfId="4"/>
    <xf numFmtId="0" fontId="9" fillId="0" borderId="0" xfId="5" applyFont="1" applyAlignment="1">
      <alignment horizontal="center"/>
    </xf>
    <xf numFmtId="0" fontId="10" fillId="0" borderId="0" xfId="6" applyFont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2" fillId="0" borderId="0" xfId="3" applyFont="1"/>
    <xf numFmtId="0" fontId="3" fillId="0" borderId="0" xfId="2"/>
  </cellXfs>
  <cellStyles count="7">
    <cellStyle name="Dobry" xfId="1" builtinId="26"/>
    <cellStyle name="Hiperłącze" xfId="2" builtinId="8"/>
    <cellStyle name="Hiperłącze 2" xfId="5" xr:uid="{21C54214-22D8-40A6-8C81-D890479A55DE}"/>
    <cellStyle name="Hiperłącze 3" xfId="6" xr:uid="{6B0498FD-B8B9-41D0-BF3E-A6CBA4DA2359}"/>
    <cellStyle name="Normalny" xfId="0" builtinId="0"/>
    <cellStyle name="Normalny 2 2" xfId="3" xr:uid="{FB6043A8-4D95-4055-B799-F31FB5FC4A90}"/>
    <cellStyle name="Normalny 3" xfId="4" xr:uid="{01B7A4A4-7F48-4CAA-A663-62842165E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szkoleniaexcela.pl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umio.to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svg"/><Relationship Id="rId1" Type="http://schemas.openxmlformats.org/officeDocument/2006/relationships/image" Target="../media/image4.png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7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hyperlink" Target="https://preview.mailerlite.io/preview/583463/sites/195680129511327095/ogarnij-komorki-6s2gbv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133350</xdr:colOff>
      <xdr:row>0</xdr:row>
      <xdr:rowOff>19050</xdr:rowOff>
    </xdr:from>
    <xdr:to>
      <xdr:col>29</xdr:col>
      <xdr:colOff>438150</xdr:colOff>
      <xdr:row>11</xdr:row>
      <xdr:rowOff>62770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6C0C4-352A-473E-8CB9-325F6D19B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1140" y="15240"/>
          <a:ext cx="5181600" cy="3015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566059</xdr:colOff>
      <xdr:row>8</xdr:row>
      <xdr:rowOff>332288</xdr:rowOff>
    </xdr:from>
    <xdr:to>
      <xdr:col>5</xdr:col>
      <xdr:colOff>137091</xdr:colOff>
      <xdr:row>17</xdr:row>
      <xdr:rowOff>358412</xdr:rowOff>
    </xdr:to>
    <xdr:pic>
      <xdr:nvPicPr>
        <xdr:cNvPr id="3" name="Obraz 2" descr="Microsoft Office Specialist: Excel Associate (Office 2019) - Credly">
          <a:extLst>
            <a:ext uri="{FF2B5EF4-FFF2-40B4-BE49-F238E27FC236}">
              <a16:creationId xmlns:a16="http://schemas.microsoft.com/office/drawing/2014/main" id="{F640050B-8975-40E5-AE77-3DC89898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754" y="2606858"/>
          <a:ext cx="2009432" cy="206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108857</xdr:colOff>
      <xdr:row>5</xdr:row>
      <xdr:rowOff>250372</xdr:rowOff>
    </xdr:from>
    <xdr:to>
      <xdr:col>22</xdr:col>
      <xdr:colOff>552722</xdr:colOff>
      <xdr:row>11</xdr:row>
      <xdr:rowOff>68308</xdr:rowOff>
    </xdr:to>
    <xdr:pic>
      <xdr:nvPicPr>
        <xdr:cNvPr id="4" name="Obraz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14F3F1-AC04-4F38-A0A0-0092D6B1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952" y="1475287"/>
          <a:ext cx="7759065" cy="1555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10</xdr:row>
      <xdr:rowOff>76200</xdr:rowOff>
    </xdr:from>
    <xdr:to>
      <xdr:col>7</xdr:col>
      <xdr:colOff>76200</xdr:colOff>
      <xdr:row>15</xdr:row>
      <xdr:rowOff>76200</xdr:rowOff>
    </xdr:to>
    <xdr:pic>
      <xdr:nvPicPr>
        <xdr:cNvPr id="5" name="Grafika 4" descr="Sala posiedzeń kontur">
          <a:extLst>
            <a:ext uri="{FF2B5EF4-FFF2-40B4-BE49-F238E27FC236}">
              <a16:creationId xmlns:a16="http://schemas.microsoft.com/office/drawing/2014/main" id="{50E9686E-3A3D-1FE7-1881-95ECC800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9000" y="19050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167640</xdr:colOff>
      <xdr:row>10</xdr:row>
      <xdr:rowOff>53340</xdr:rowOff>
    </xdr:from>
    <xdr:to>
      <xdr:col>8</xdr:col>
      <xdr:colOff>472440</xdr:colOff>
      <xdr:row>15</xdr:row>
      <xdr:rowOff>53340</xdr:rowOff>
    </xdr:to>
    <xdr:pic>
      <xdr:nvPicPr>
        <xdr:cNvPr id="7" name="Grafika 6" descr="Uścisk dłoni kontur">
          <a:extLst>
            <a:ext uri="{FF2B5EF4-FFF2-40B4-BE49-F238E27FC236}">
              <a16:creationId xmlns:a16="http://schemas.microsoft.com/office/drawing/2014/main" id="{9C5C7EF1-A91D-EE21-5736-A35E3C9B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434840" y="18821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91440</xdr:colOff>
      <xdr:row>10</xdr:row>
      <xdr:rowOff>76200</xdr:rowOff>
    </xdr:from>
    <xdr:to>
      <xdr:col>10</xdr:col>
      <xdr:colOff>396240</xdr:colOff>
      <xdr:row>15</xdr:row>
      <xdr:rowOff>76200</xdr:rowOff>
    </xdr:to>
    <xdr:pic>
      <xdr:nvPicPr>
        <xdr:cNvPr id="9" name="Grafika 8" descr="Monety kontur">
          <a:extLst>
            <a:ext uri="{FF2B5EF4-FFF2-40B4-BE49-F238E27FC236}">
              <a16:creationId xmlns:a16="http://schemas.microsoft.com/office/drawing/2014/main" id="{C5F0E324-DF2B-E7DA-CC4C-46DB3918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77840" y="190500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603000</xdr:colOff>
      <xdr:row>0</xdr:row>
      <xdr:rowOff>82800</xdr:rowOff>
    </xdr:from>
    <xdr:to>
      <xdr:col>7</xdr:col>
      <xdr:colOff>77880</xdr:colOff>
      <xdr:row>7</xdr:row>
      <xdr:rowOff>62640</xdr:rowOff>
    </xdr:to>
    <xdr:grpSp>
      <xdr:nvGrpSpPr>
        <xdr:cNvPr id="18" name="Grupa 17">
          <a:extLst>
            <a:ext uri="{FF2B5EF4-FFF2-40B4-BE49-F238E27FC236}">
              <a16:creationId xmlns:a16="http://schemas.microsoft.com/office/drawing/2014/main" id="{48CEDF5F-CE32-9BCD-E73F-6EE5A8CFC483}"/>
            </a:ext>
          </a:extLst>
        </xdr:cNvPr>
        <xdr:cNvGrpSpPr/>
      </xdr:nvGrpSpPr>
      <xdr:grpSpPr>
        <a:xfrm>
          <a:off x="1822200" y="82800"/>
          <a:ext cx="2522880" cy="1260000"/>
          <a:chOff x="2294640" y="67560"/>
          <a:chExt cx="2522880" cy="1260000"/>
        </a:xfrm>
      </xdr:grpSpPr>
      <xdr:sp macro="" textlink="">
        <xdr:nvSpPr>
          <xdr:cNvPr id="11" name="Prostokąt: zaokrąglone rogi u góry 10">
            <a:extLst>
              <a:ext uri="{FF2B5EF4-FFF2-40B4-BE49-F238E27FC236}">
                <a16:creationId xmlns:a16="http://schemas.microsoft.com/office/drawing/2014/main" id="{BC0D9162-52A1-CB3B-4DB3-6D5B7F7296F2}"/>
              </a:ext>
            </a:extLst>
          </xdr:cNvPr>
          <xdr:cNvSpPr/>
        </xdr:nvSpPr>
        <xdr:spPr>
          <a:xfrm rot="16200000">
            <a:off x="2834640" y="-472440"/>
            <a:ext cx="1260000" cy="2340000"/>
          </a:xfrm>
          <a:prstGeom prst="round2Same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  <xdr:sp macro="" textlink="">
        <xdr:nvSpPr>
          <xdr:cNvPr id="13" name="Prostokąt: zaokrąglone rogi u góry 12">
            <a:extLst>
              <a:ext uri="{FF2B5EF4-FFF2-40B4-BE49-F238E27FC236}">
                <a16:creationId xmlns:a16="http://schemas.microsoft.com/office/drawing/2014/main" id="{5192DD0A-6644-EA4F-93DD-C6B6B73BE322}"/>
              </a:ext>
            </a:extLst>
          </xdr:cNvPr>
          <xdr:cNvSpPr/>
        </xdr:nvSpPr>
        <xdr:spPr>
          <a:xfrm rot="16200000">
            <a:off x="3017520" y="-472440"/>
            <a:ext cx="1260000" cy="2340000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/>
          </a:p>
        </xdr:txBody>
      </xdr:sp>
      <xdr:cxnSp macro="">
        <xdr:nvCxnSpPr>
          <xdr:cNvPr id="16" name="Łącznik prosty 15">
            <a:extLst>
              <a:ext uri="{FF2B5EF4-FFF2-40B4-BE49-F238E27FC236}">
                <a16:creationId xmlns:a16="http://schemas.microsoft.com/office/drawing/2014/main" id="{70E48E8E-2775-7CBB-A28D-086172D0B768}"/>
              </a:ext>
            </a:extLst>
          </xdr:cNvPr>
          <xdr:cNvCxnSpPr/>
        </xdr:nvCxnSpPr>
        <xdr:spPr>
          <a:xfrm flipH="1">
            <a:off x="3360420" y="274320"/>
            <a:ext cx="7620" cy="937260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563880</xdr:colOff>
      <xdr:row>11</xdr:row>
      <xdr:rowOff>30480</xdr:rowOff>
    </xdr:from>
    <xdr:to>
      <xdr:col>5</xdr:col>
      <xdr:colOff>68580</xdr:colOff>
      <xdr:row>15</xdr:row>
      <xdr:rowOff>22860</xdr:rowOff>
    </xdr:to>
    <xdr:pic>
      <xdr:nvPicPr>
        <xdr:cNvPr id="3" name="Grafika 2" descr="Słuchawka kontur">
          <a:extLst>
            <a:ext uri="{FF2B5EF4-FFF2-40B4-BE49-F238E27FC236}">
              <a16:creationId xmlns:a16="http://schemas.microsoft.com/office/drawing/2014/main" id="{E2B7E5B9-3E62-36BC-CF4E-D2E2DD7A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392680" y="2042160"/>
          <a:ext cx="723900" cy="72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</xdr:rowOff>
    </xdr:from>
    <xdr:to>
      <xdr:col>7</xdr:col>
      <xdr:colOff>335280</xdr:colOff>
      <xdr:row>19</xdr:row>
      <xdr:rowOff>66278</xdr:rowOff>
    </xdr:to>
    <xdr:pic>
      <xdr:nvPicPr>
        <xdr:cNvPr id="2" name="Obraz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E47CE-8B2C-B20A-2505-C260D3BED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5240"/>
          <a:ext cx="4450080" cy="35257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b812c50603d5ce7/PFP/Arkusze%20dla%20kursant&#243;w/Wakacyjny%20kurs%20Excela%20-%205%20-Tabele%20przestawne%20&#8211;%20analiza%20danych%20bez%20formu&#322;.xlsx" TargetMode="External"/><Relationship Id="rId1" Type="http://schemas.openxmlformats.org/officeDocument/2006/relationships/externalLinkPath" Target="Wakacyjny%20kurs%20Excela%20-%205%20-Tabele%20przestawne%20&#8211;%20analiza%20danych%20bez%20formu&#32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50568800/Downloads/Zadaznia%20do%20po&#263;wiczenia.xlsx" TargetMode="External"/><Relationship Id="rId1" Type="http://schemas.openxmlformats.org/officeDocument/2006/relationships/externalLinkPath" Target="/Users/50568800/Downloads/Zadaznia%20do%20po&#263;wiczen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ona tytułowa"/>
      <sheetName val="Tworzenie Tabeli Przestawnej"/>
      <sheetName val="Sprzedaż"/>
      <sheetName val="HR"/>
      <sheetName val="HR 2"/>
      <sheetName val="Badanie ankietowe"/>
      <sheetName val="ANALIZA"/>
      <sheetName val="Jak formatować dane"/>
      <sheetName val="Czereśnia"/>
      <sheetName val="Gruszka"/>
      <sheetName val="Jabłko"/>
      <sheetName val="Śliwka"/>
      <sheetName val="Wiśnia"/>
      <sheetName val="Arkusz2"/>
      <sheetName val="Oddzielne raporty w arkuszach"/>
      <sheetName val="Ścią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stęp"/>
      <sheetName val="Arkusz1"/>
      <sheetName val="BAZY"/>
      <sheetName val="Sheet 1"/>
      <sheetName val="Arkusz2"/>
      <sheetName val="Zad1"/>
      <sheetName val="Zad2"/>
      <sheetName val="Zad3"/>
      <sheetName val="Zad4"/>
      <sheetName val="Zad5"/>
      <sheetName val="Zad6"/>
      <sheetName val="AT1"/>
      <sheetName val="AT2"/>
      <sheetName val="z1"/>
      <sheetName val="z2"/>
    </sheetNames>
    <sheetDataSet>
      <sheetData sheetId="0"/>
      <sheetData sheetId="1">
        <row r="66">
          <cell r="F66" t="str">
            <v>Wstaw tabele przestawną, zawierającą tylko dane o zamówieniach, przy których nie wypłacono premii. W kolejnych wierszach przedstaw różnych projektantów; w kolejnych kolumnach różnych odbiorców. Dla kazdej grupy wyświetl informacje o: sumie wartości zamówien (w zł i jako % wszystkich  zamówień przypadających na danego projektanta); oraz liczbie zamówień. Następnie podziel odbiorców na dwie grupy: Chmurka, Bałwan i Burza - STALI KLIENCI , pozostali - NOWI KLIENCI i wyświetl informacje w podziale na te dwie grupy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groups/excelpomoc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facebook.com/groups/excelpomoc" TargetMode="External"/><Relationship Id="rId1" Type="http://schemas.openxmlformats.org/officeDocument/2006/relationships/hyperlink" Target="http://www.ogarnijkomorki.pl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umio.to/" TargetMode="External"/><Relationship Id="rId4" Type="http://schemas.openxmlformats.org/officeDocument/2006/relationships/hyperlink" Target="https://szkoleniaexcela.p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review.mailerlite.io/preview/583463/sites/195680129511327095/ogarnij-komorki-6s2g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8D36-083E-46BD-9852-A574B63C9FB0}">
  <dimension ref="C4:AD34"/>
  <sheetViews>
    <sheetView showGridLines="0" showRowColHeaders="0" tabSelected="1" zoomScale="85" zoomScaleNormal="85" workbookViewId="0">
      <selection activeCell="I6" sqref="I6"/>
    </sheetView>
  </sheetViews>
  <sheetFormatPr defaultColWidth="8.88671875" defaultRowHeight="14.4" x14ac:dyDescent="0.3"/>
  <cols>
    <col min="1" max="16384" width="8.88671875" style="6"/>
  </cols>
  <sheetData>
    <row r="4" spans="3:6" ht="31.2" x14ac:dyDescent="0.6">
      <c r="C4" s="5" t="s">
        <v>45</v>
      </c>
    </row>
    <row r="5" spans="3:6" ht="22.8" x14ac:dyDescent="0.4">
      <c r="C5" s="7" t="s">
        <v>52</v>
      </c>
    </row>
    <row r="6" spans="3:6" ht="31.2" x14ac:dyDescent="0.6">
      <c r="C6" s="8" t="s">
        <v>46</v>
      </c>
    </row>
    <row r="7" spans="3:6" ht="31.2" x14ac:dyDescent="0.6">
      <c r="C7" s="8" t="s">
        <v>47</v>
      </c>
    </row>
    <row r="8" spans="3:6" ht="31.2" x14ac:dyDescent="0.6">
      <c r="C8" s="8" t="s">
        <v>48</v>
      </c>
    </row>
    <row r="13" spans="3:6" x14ac:dyDescent="0.3">
      <c r="F13" s="9"/>
    </row>
    <row r="17" spans="13:30" ht="33.6" x14ac:dyDescent="0.65">
      <c r="M17" s="10" t="s">
        <v>49</v>
      </c>
      <c r="N17" s="10"/>
      <c r="O17" s="10"/>
      <c r="P17" s="10"/>
      <c r="Q17" s="10"/>
      <c r="R17" s="10"/>
      <c r="S17" s="10"/>
      <c r="T17" s="10"/>
      <c r="U17" s="10"/>
      <c r="V17" s="10"/>
      <c r="W17" s="11" t="str">
        <f>HYPERLINK("https://szkoleniaexcela.pl/","Dołącz do mojego newslettera")</f>
        <v>Dołącz do mojego newslettera</v>
      </c>
      <c r="X17" s="11"/>
      <c r="Y17" s="11"/>
      <c r="Z17" s="11"/>
      <c r="AA17" s="11"/>
      <c r="AB17" s="11"/>
      <c r="AC17" s="11"/>
      <c r="AD17" s="11"/>
    </row>
    <row r="18" spans="13:30" ht="33.6" x14ac:dyDescent="0.3">
      <c r="W18" s="12" t="s">
        <v>50</v>
      </c>
      <c r="X18" s="12"/>
      <c r="Y18" s="12"/>
      <c r="Z18" s="12"/>
      <c r="AA18" s="12"/>
      <c r="AB18" s="12"/>
      <c r="AC18" s="12"/>
      <c r="AD18" s="12"/>
    </row>
    <row r="19" spans="13:30" ht="33.6" x14ac:dyDescent="0.3">
      <c r="W19" s="12" t="str">
        <f>HYPERLINK("https://www.facebook.com/groups/excelpomoc","Grupa na facebooku")</f>
        <v>Grupa na facebooku</v>
      </c>
      <c r="X19" s="12"/>
      <c r="Y19" s="12"/>
      <c r="Z19" s="12"/>
      <c r="AA19" s="12"/>
      <c r="AB19" s="12"/>
      <c r="AC19" s="12"/>
      <c r="AD19" s="12"/>
    </row>
    <row r="20" spans="13:30" ht="33.6" x14ac:dyDescent="0.3">
      <c r="W20" s="12" t="str">
        <f>HYPERLINK("https://www.instagram.com/ogarnijkomorki/","Instagram")</f>
        <v>Instagram</v>
      </c>
      <c r="X20" s="12"/>
      <c r="Y20" s="12"/>
      <c r="Z20" s="12"/>
      <c r="AA20" s="12"/>
      <c r="AB20" s="12"/>
      <c r="AC20" s="12"/>
      <c r="AD20" s="12"/>
    </row>
    <row r="21" spans="13:30" ht="33.6" x14ac:dyDescent="0.3">
      <c r="W21" s="12" t="str">
        <f>HYPERLINK("https://www.tiktok.com/@excel.triki","TikTok")</f>
        <v>TikTok</v>
      </c>
      <c r="X21" s="12"/>
      <c r="Y21" s="12"/>
      <c r="Z21" s="12"/>
      <c r="AA21" s="12"/>
      <c r="AB21" s="12"/>
      <c r="AC21" s="12"/>
      <c r="AD21" s="12"/>
    </row>
    <row r="34" spans="3:3" x14ac:dyDescent="0.3">
      <c r="C34" s="13" t="s">
        <v>51</v>
      </c>
    </row>
  </sheetData>
  <mergeCells count="6">
    <mergeCell ref="M17:V17"/>
    <mergeCell ref="W17:AD17"/>
    <mergeCell ref="W18:AD18"/>
    <mergeCell ref="W19:AD19"/>
    <mergeCell ref="W20:AD20"/>
    <mergeCell ref="W21:AD21"/>
  </mergeCells>
  <hyperlinks>
    <hyperlink ref="W18" r:id="rId1" xr:uid="{17AA2CBB-4E77-44AC-8859-5A8D7DCF325E}"/>
    <hyperlink ref="W19" r:id="rId2" display="https://www.facebook.com/groups/excelpomoc" xr:uid="{BA851BE7-0C71-44DF-8F3D-33ED2D1C044E}"/>
    <hyperlink ref="W17" r:id="rId3" display="https://www.facebook.com/groups/excelpomoc" xr:uid="{355D97DA-33C2-4593-B22C-684164CADAA4}"/>
    <hyperlink ref="W17:AD17" r:id="rId4" display="https://szkoleniaexcela.pl/" xr:uid="{0BEE693C-74CC-4C54-A78C-F7366096A78B}"/>
    <hyperlink ref="M17" r:id="rId5" xr:uid="{7268594F-BAE2-4D74-B57A-20179BAFEA22}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3E11-6B23-478E-9A69-4DFC02705E75}">
  <dimension ref="A1:A8"/>
  <sheetViews>
    <sheetView workbookViewId="0">
      <selection activeCell="M12" sqref="M12"/>
    </sheetView>
  </sheetViews>
  <sheetFormatPr defaultRowHeight="14.4" x14ac:dyDescent="0.3"/>
  <sheetData>
    <row r="1" s="4" customFormat="1" x14ac:dyDescent="0.3"/>
    <row r="2" s="4" customFormat="1" x14ac:dyDescent="0.3"/>
    <row r="3" s="4" customFormat="1" x14ac:dyDescent="0.3"/>
    <row r="4" s="4" customFormat="1" x14ac:dyDescent="0.3"/>
    <row r="5" s="4" customFormat="1" x14ac:dyDescent="0.3"/>
    <row r="6" s="4" customFormat="1" x14ac:dyDescent="0.3"/>
    <row r="7" s="4" customFormat="1" x14ac:dyDescent="0.3"/>
    <row r="8" s="4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F8E7-5123-4AB9-948B-21B6915B31AF}">
  <dimension ref="A1:V29"/>
  <sheetViews>
    <sheetView zoomScale="160" zoomScaleNormal="160" workbookViewId="0">
      <selection activeCell="N6" sqref="N6"/>
    </sheetView>
  </sheetViews>
  <sheetFormatPr defaultRowHeight="14.4" x14ac:dyDescent="0.3"/>
  <cols>
    <col min="1" max="1" width="2.88671875" customWidth="1"/>
    <col min="2" max="2" width="4.6640625" customWidth="1"/>
    <col min="12" max="12" width="10" customWidth="1"/>
  </cols>
  <sheetData>
    <row r="1" spans="1:22" x14ac:dyDescent="0.3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2">
        <v>1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2">
        <v>2</v>
      </c>
      <c r="B3" s="2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2">
        <v>3</v>
      </c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2">
        <v>4</v>
      </c>
      <c r="B5" s="2" t="s">
        <v>12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2">
        <v>5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2">
        <v>6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2"/>
      <c r="B8" s="2"/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2"/>
      <c r="B9" s="2"/>
      <c r="C9" s="2" t="s">
        <v>14</v>
      </c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2"/>
      <c r="B10" s="2"/>
      <c r="C10" s="2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4" customFormat="1" x14ac:dyDescent="0.3">
      <c r="A11" s="2">
        <v>7</v>
      </c>
      <c r="B11" s="2" t="s">
        <v>44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4" customForma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4" customForma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4" customForma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4" customForma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4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4" customForma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s="4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4" customForma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s="4" customForma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s="4" customForma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s="4" customForma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s="4" customForma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s="4" customForma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s="4" customForma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s="4" customForma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s="4" customForma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s="4" customForma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s="4" customForma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B5F2-1360-4C1C-94A6-842766048E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2657-7F69-40D6-A659-58F1CF8646E5}">
  <dimension ref="A1:H313"/>
  <sheetViews>
    <sheetView workbookViewId="0">
      <selection activeCell="K7" sqref="K7"/>
    </sheetView>
  </sheetViews>
  <sheetFormatPr defaultRowHeight="14.4" x14ac:dyDescent="0.3"/>
  <cols>
    <col min="1" max="1" width="8.5546875" bestFit="1" customWidth="1"/>
    <col min="2" max="2" width="6" bestFit="1" customWidth="1"/>
    <col min="3" max="3" width="10.44140625" bestFit="1" customWidth="1"/>
    <col min="4" max="4" width="13.21875" bestFit="1" customWidth="1"/>
    <col min="5" max="5" width="20.5546875" bestFit="1" customWidth="1"/>
    <col min="6" max="6" width="12.109375" bestFit="1" customWidth="1"/>
    <col min="7" max="7" width="10" bestFit="1" customWidth="1"/>
    <col min="8" max="8" width="2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9</v>
      </c>
      <c r="G1" t="s">
        <v>5</v>
      </c>
      <c r="H1" t="s">
        <v>6</v>
      </c>
    </row>
    <row r="2" spans="1:8" x14ac:dyDescent="0.3">
      <c r="A2" t="s">
        <v>18</v>
      </c>
      <c r="B2">
        <v>45292</v>
      </c>
      <c r="C2">
        <v>74</v>
      </c>
      <c r="D2">
        <v>12</v>
      </c>
      <c r="E2">
        <v>330.42</v>
      </c>
      <c r="F2">
        <v>7</v>
      </c>
      <c r="H2">
        <v>4276.3100000000004</v>
      </c>
    </row>
    <row r="3" spans="1:8" x14ac:dyDescent="0.3">
      <c r="A3" t="s">
        <v>19</v>
      </c>
      <c r="B3">
        <v>45292</v>
      </c>
      <c r="C3">
        <v>78</v>
      </c>
      <c r="D3">
        <v>12</v>
      </c>
      <c r="E3">
        <v>377.5</v>
      </c>
      <c r="F3">
        <v>4</v>
      </c>
      <c r="H3">
        <v>3880.98</v>
      </c>
    </row>
    <row r="4" spans="1:8" x14ac:dyDescent="0.3">
      <c r="A4" t="s">
        <v>20</v>
      </c>
      <c r="B4">
        <v>45292</v>
      </c>
      <c r="C4">
        <v>47</v>
      </c>
      <c r="D4">
        <v>14</v>
      </c>
      <c r="E4">
        <v>418.92</v>
      </c>
      <c r="F4">
        <v>2</v>
      </c>
      <c r="H4">
        <v>3716</v>
      </c>
    </row>
    <row r="5" spans="1:8" x14ac:dyDescent="0.3">
      <c r="A5" t="s">
        <v>21</v>
      </c>
      <c r="B5">
        <v>45292</v>
      </c>
      <c r="C5">
        <v>24</v>
      </c>
      <c r="D5">
        <v>6</v>
      </c>
      <c r="E5">
        <v>76.930000000000007</v>
      </c>
      <c r="F5">
        <v>4</v>
      </c>
      <c r="H5">
        <v>1552.35</v>
      </c>
    </row>
    <row r="6" spans="1:8" x14ac:dyDescent="0.3">
      <c r="A6" t="s">
        <v>22</v>
      </c>
      <c r="B6">
        <v>45292</v>
      </c>
      <c r="C6">
        <v>81</v>
      </c>
      <c r="D6">
        <v>16</v>
      </c>
      <c r="E6">
        <v>516.23</v>
      </c>
      <c r="F6">
        <v>5</v>
      </c>
      <c r="H6">
        <v>1030.68</v>
      </c>
    </row>
    <row r="7" spans="1:8" x14ac:dyDescent="0.3">
      <c r="A7" t="s">
        <v>23</v>
      </c>
      <c r="B7">
        <v>45292</v>
      </c>
      <c r="C7">
        <v>59</v>
      </c>
      <c r="D7">
        <v>5</v>
      </c>
      <c r="E7">
        <v>520.05999999999995</v>
      </c>
      <c r="F7">
        <v>3</v>
      </c>
      <c r="H7">
        <v>3546.72</v>
      </c>
    </row>
    <row r="8" spans="1:8" x14ac:dyDescent="0.3">
      <c r="A8" t="s">
        <v>24</v>
      </c>
      <c r="B8">
        <v>45292</v>
      </c>
      <c r="C8">
        <v>68</v>
      </c>
      <c r="D8">
        <v>19</v>
      </c>
      <c r="E8">
        <v>290.39</v>
      </c>
      <c r="F8">
        <v>3</v>
      </c>
      <c r="H8">
        <v>2472.2399999999998</v>
      </c>
    </row>
    <row r="9" spans="1:8" x14ac:dyDescent="0.3">
      <c r="A9" t="s">
        <v>25</v>
      </c>
      <c r="B9">
        <v>45292</v>
      </c>
      <c r="C9">
        <v>60</v>
      </c>
      <c r="D9">
        <v>7</v>
      </c>
      <c r="E9">
        <v>251.7</v>
      </c>
      <c r="F9">
        <v>5</v>
      </c>
      <c r="H9">
        <v>3956.69</v>
      </c>
    </row>
    <row r="10" spans="1:8" x14ac:dyDescent="0.3">
      <c r="A10" t="s">
        <v>26</v>
      </c>
      <c r="B10">
        <v>45292</v>
      </c>
      <c r="C10">
        <v>34</v>
      </c>
      <c r="D10">
        <v>21</v>
      </c>
      <c r="E10">
        <v>362.62</v>
      </c>
      <c r="F10">
        <v>9</v>
      </c>
      <c r="H10">
        <v>1140.08</v>
      </c>
    </row>
    <row r="11" spans="1:8" x14ac:dyDescent="0.3">
      <c r="A11" t="s">
        <v>27</v>
      </c>
      <c r="B11">
        <v>45292</v>
      </c>
      <c r="C11">
        <v>59</v>
      </c>
      <c r="D11">
        <v>13</v>
      </c>
      <c r="E11">
        <v>307.49</v>
      </c>
      <c r="F11">
        <v>10</v>
      </c>
      <c r="H11">
        <v>979.09</v>
      </c>
    </row>
    <row r="12" spans="1:8" x14ac:dyDescent="0.3">
      <c r="A12" t="s">
        <v>28</v>
      </c>
      <c r="B12">
        <v>45292</v>
      </c>
      <c r="C12">
        <v>18</v>
      </c>
      <c r="D12">
        <v>8</v>
      </c>
      <c r="E12">
        <v>206.81</v>
      </c>
      <c r="F12">
        <v>7</v>
      </c>
      <c r="H12">
        <v>720.56</v>
      </c>
    </row>
    <row r="13" spans="1:8" x14ac:dyDescent="0.3">
      <c r="A13" t="s">
        <v>29</v>
      </c>
      <c r="B13">
        <v>45292</v>
      </c>
      <c r="C13">
        <v>36</v>
      </c>
      <c r="D13">
        <v>6</v>
      </c>
      <c r="E13">
        <v>547.6</v>
      </c>
      <c r="F13">
        <v>5</v>
      </c>
      <c r="H13">
        <v>3463.18</v>
      </c>
    </row>
    <row r="14" spans="1:8" x14ac:dyDescent="0.3">
      <c r="A14" t="s">
        <v>30</v>
      </c>
      <c r="B14">
        <v>45292</v>
      </c>
      <c r="C14">
        <v>67</v>
      </c>
      <c r="D14">
        <v>17</v>
      </c>
      <c r="E14">
        <v>552.54999999999995</v>
      </c>
      <c r="F14">
        <v>2</v>
      </c>
      <c r="H14">
        <v>330.12</v>
      </c>
    </row>
    <row r="15" spans="1:8" x14ac:dyDescent="0.3">
      <c r="A15" t="s">
        <v>31</v>
      </c>
      <c r="B15">
        <v>45292</v>
      </c>
      <c r="C15">
        <v>36</v>
      </c>
      <c r="D15">
        <v>9</v>
      </c>
      <c r="E15">
        <v>216.03</v>
      </c>
      <c r="F15">
        <v>2</v>
      </c>
      <c r="H15">
        <v>4072.07</v>
      </c>
    </row>
    <row r="16" spans="1:8" x14ac:dyDescent="0.3">
      <c r="A16" t="s">
        <v>32</v>
      </c>
      <c r="B16">
        <v>45292</v>
      </c>
      <c r="C16">
        <v>54</v>
      </c>
      <c r="D16">
        <v>10</v>
      </c>
      <c r="E16">
        <v>208.23</v>
      </c>
      <c r="F16">
        <v>3</v>
      </c>
      <c r="H16">
        <v>645.83000000000004</v>
      </c>
    </row>
    <row r="17" spans="1:8" x14ac:dyDescent="0.3">
      <c r="A17" t="s">
        <v>33</v>
      </c>
      <c r="B17">
        <v>45292</v>
      </c>
      <c r="C17">
        <v>82</v>
      </c>
      <c r="D17">
        <v>4</v>
      </c>
      <c r="E17">
        <v>180.06</v>
      </c>
      <c r="F17">
        <v>4</v>
      </c>
      <c r="H17">
        <v>1207.17</v>
      </c>
    </row>
    <row r="18" spans="1:8" x14ac:dyDescent="0.3">
      <c r="A18" t="s">
        <v>34</v>
      </c>
      <c r="B18">
        <v>45292</v>
      </c>
      <c r="C18">
        <v>81</v>
      </c>
      <c r="D18">
        <v>7</v>
      </c>
      <c r="E18">
        <v>82.43</v>
      </c>
      <c r="F18">
        <v>7</v>
      </c>
      <c r="H18">
        <v>3463.96</v>
      </c>
    </row>
    <row r="19" spans="1:8" x14ac:dyDescent="0.3">
      <c r="A19" t="s">
        <v>35</v>
      </c>
      <c r="B19">
        <v>45292</v>
      </c>
      <c r="C19">
        <v>31</v>
      </c>
      <c r="D19">
        <v>17</v>
      </c>
      <c r="E19">
        <v>476.95</v>
      </c>
      <c r="F19">
        <v>7</v>
      </c>
      <c r="H19">
        <v>3945.43</v>
      </c>
    </row>
    <row r="20" spans="1:8" x14ac:dyDescent="0.3">
      <c r="A20" t="s">
        <v>36</v>
      </c>
      <c r="B20">
        <v>45292</v>
      </c>
      <c r="C20">
        <v>92</v>
      </c>
      <c r="D20">
        <v>20</v>
      </c>
      <c r="E20">
        <v>161.41999999999999</v>
      </c>
      <c r="F20">
        <v>4</v>
      </c>
      <c r="H20">
        <v>425.41</v>
      </c>
    </row>
    <row r="21" spans="1:8" x14ac:dyDescent="0.3">
      <c r="A21" t="s">
        <v>37</v>
      </c>
      <c r="B21">
        <v>45292</v>
      </c>
      <c r="C21">
        <v>73</v>
      </c>
      <c r="D21">
        <v>12</v>
      </c>
      <c r="E21">
        <v>507.45</v>
      </c>
      <c r="F21">
        <v>0</v>
      </c>
      <c r="H21">
        <v>1123.8399999999999</v>
      </c>
    </row>
    <row r="22" spans="1:8" x14ac:dyDescent="0.3">
      <c r="A22" t="s">
        <v>38</v>
      </c>
      <c r="B22">
        <v>45292</v>
      </c>
      <c r="C22">
        <v>25</v>
      </c>
      <c r="D22">
        <v>14</v>
      </c>
      <c r="E22">
        <v>279.95</v>
      </c>
      <c r="F22">
        <v>2</v>
      </c>
      <c r="H22">
        <v>1432.23</v>
      </c>
    </row>
    <row r="23" spans="1:8" x14ac:dyDescent="0.3">
      <c r="A23" t="s">
        <v>39</v>
      </c>
      <c r="B23">
        <v>45292</v>
      </c>
      <c r="C23">
        <v>96</v>
      </c>
      <c r="D23">
        <v>6</v>
      </c>
      <c r="E23">
        <v>532.83000000000004</v>
      </c>
      <c r="F23">
        <v>1</v>
      </c>
      <c r="H23">
        <v>3173.13</v>
      </c>
    </row>
    <row r="24" spans="1:8" x14ac:dyDescent="0.3">
      <c r="A24" t="s">
        <v>40</v>
      </c>
      <c r="B24">
        <v>45292</v>
      </c>
      <c r="C24">
        <v>63</v>
      </c>
      <c r="D24">
        <v>8</v>
      </c>
      <c r="E24">
        <v>170.49</v>
      </c>
      <c r="F24">
        <v>7</v>
      </c>
      <c r="H24">
        <v>526.12</v>
      </c>
    </row>
    <row r="25" spans="1:8" x14ac:dyDescent="0.3">
      <c r="A25" t="s">
        <v>41</v>
      </c>
      <c r="B25">
        <v>45292</v>
      </c>
      <c r="C25">
        <v>92</v>
      </c>
      <c r="D25">
        <v>13</v>
      </c>
      <c r="E25">
        <v>422.39</v>
      </c>
      <c r="F25">
        <v>1</v>
      </c>
      <c r="H25">
        <v>2695.84</v>
      </c>
    </row>
    <row r="26" spans="1:8" x14ac:dyDescent="0.3">
      <c r="A26" t="s">
        <v>42</v>
      </c>
      <c r="B26">
        <v>45292</v>
      </c>
      <c r="C26">
        <v>38</v>
      </c>
      <c r="D26">
        <v>10</v>
      </c>
      <c r="E26">
        <v>514.25</v>
      </c>
      <c r="F26">
        <v>4</v>
      </c>
      <c r="H26">
        <v>243.62</v>
      </c>
    </row>
    <row r="27" spans="1:8" x14ac:dyDescent="0.3">
      <c r="A27" t="s">
        <v>43</v>
      </c>
      <c r="B27">
        <v>45292</v>
      </c>
      <c r="C27">
        <v>43</v>
      </c>
      <c r="D27">
        <v>15</v>
      </c>
      <c r="E27">
        <v>363.48</v>
      </c>
      <c r="F27">
        <v>7</v>
      </c>
      <c r="H27">
        <v>3843.52</v>
      </c>
    </row>
    <row r="28" spans="1:8" x14ac:dyDescent="0.3">
      <c r="A28">
        <v>0</v>
      </c>
      <c r="B28">
        <v>45323</v>
      </c>
      <c r="C28">
        <v>62</v>
      </c>
      <c r="D28">
        <v>15</v>
      </c>
      <c r="E28">
        <v>361.38</v>
      </c>
      <c r="F28">
        <v>6</v>
      </c>
      <c r="H28">
        <v>4195.1400000000003</v>
      </c>
    </row>
    <row r="29" spans="1:8" x14ac:dyDescent="0.3">
      <c r="A29">
        <v>0</v>
      </c>
      <c r="B29">
        <v>45323</v>
      </c>
      <c r="C29">
        <v>81</v>
      </c>
      <c r="D29">
        <v>14</v>
      </c>
      <c r="E29">
        <v>362.96</v>
      </c>
      <c r="F29">
        <v>5</v>
      </c>
      <c r="H29">
        <v>3620.19</v>
      </c>
    </row>
    <row r="30" spans="1:8" x14ac:dyDescent="0.3">
      <c r="A30">
        <v>0</v>
      </c>
      <c r="B30">
        <v>45323</v>
      </c>
      <c r="C30">
        <v>52</v>
      </c>
      <c r="D30">
        <v>14</v>
      </c>
      <c r="E30">
        <v>382.59</v>
      </c>
      <c r="F30">
        <v>3</v>
      </c>
      <c r="H30">
        <v>3394.39</v>
      </c>
    </row>
    <row r="31" spans="1:8" x14ac:dyDescent="0.3">
      <c r="A31">
        <v>0</v>
      </c>
      <c r="B31">
        <v>45323</v>
      </c>
      <c r="C31">
        <v>22</v>
      </c>
      <c r="D31">
        <v>7</v>
      </c>
      <c r="E31">
        <v>79.459999999999994</v>
      </c>
      <c r="F31">
        <v>3</v>
      </c>
      <c r="H31">
        <v>1638.74</v>
      </c>
    </row>
    <row r="32" spans="1:8" x14ac:dyDescent="0.3">
      <c r="A32">
        <v>0</v>
      </c>
      <c r="B32">
        <v>45323</v>
      </c>
      <c r="C32">
        <v>93</v>
      </c>
      <c r="D32">
        <v>11</v>
      </c>
      <c r="E32">
        <v>446.3</v>
      </c>
      <c r="F32">
        <v>5</v>
      </c>
      <c r="H32">
        <v>1057.1400000000001</v>
      </c>
    </row>
    <row r="33" spans="1:8" x14ac:dyDescent="0.3">
      <c r="A33">
        <v>0</v>
      </c>
      <c r="B33">
        <v>45323</v>
      </c>
      <c r="C33">
        <v>65</v>
      </c>
      <c r="D33">
        <v>7</v>
      </c>
      <c r="E33">
        <v>461.67</v>
      </c>
      <c r="F33">
        <v>2</v>
      </c>
      <c r="H33">
        <v>3486.23</v>
      </c>
    </row>
    <row r="34" spans="1:8" x14ac:dyDescent="0.3">
      <c r="A34">
        <v>0</v>
      </c>
      <c r="B34">
        <v>45323</v>
      </c>
      <c r="C34">
        <v>90</v>
      </c>
      <c r="D34">
        <v>20</v>
      </c>
      <c r="E34">
        <v>328.63</v>
      </c>
      <c r="F34">
        <v>3</v>
      </c>
      <c r="H34">
        <v>2662.44</v>
      </c>
    </row>
    <row r="35" spans="1:8" x14ac:dyDescent="0.3">
      <c r="A35">
        <v>0</v>
      </c>
      <c r="B35">
        <v>45323</v>
      </c>
      <c r="C35">
        <v>48</v>
      </c>
      <c r="D35">
        <v>7</v>
      </c>
      <c r="E35">
        <v>247.66</v>
      </c>
      <c r="F35">
        <v>6</v>
      </c>
      <c r="H35">
        <v>4335.84</v>
      </c>
    </row>
    <row r="36" spans="1:8" x14ac:dyDescent="0.3">
      <c r="A36">
        <v>0</v>
      </c>
      <c r="B36">
        <v>45323</v>
      </c>
      <c r="C36">
        <v>37</v>
      </c>
      <c r="D36">
        <v>17</v>
      </c>
      <c r="E36">
        <v>378.61</v>
      </c>
      <c r="F36">
        <v>10</v>
      </c>
      <c r="H36">
        <v>1295.07</v>
      </c>
    </row>
    <row r="37" spans="1:8" x14ac:dyDescent="0.3">
      <c r="A37">
        <v>0</v>
      </c>
      <c r="B37">
        <v>45323</v>
      </c>
      <c r="C37">
        <v>68</v>
      </c>
      <c r="D37">
        <v>16</v>
      </c>
      <c r="E37">
        <v>299.58999999999997</v>
      </c>
      <c r="F37">
        <v>9</v>
      </c>
      <c r="H37">
        <v>979.47</v>
      </c>
    </row>
    <row r="38" spans="1:8" x14ac:dyDescent="0.3">
      <c r="A38">
        <v>0</v>
      </c>
      <c r="B38">
        <v>45323</v>
      </c>
      <c r="C38">
        <v>20</v>
      </c>
      <c r="D38">
        <v>9</v>
      </c>
      <c r="E38">
        <v>202.4</v>
      </c>
      <c r="F38">
        <v>7</v>
      </c>
      <c r="H38">
        <v>732.99</v>
      </c>
    </row>
    <row r="39" spans="1:8" x14ac:dyDescent="0.3">
      <c r="A39">
        <v>0</v>
      </c>
      <c r="B39">
        <v>45323</v>
      </c>
      <c r="C39">
        <v>35</v>
      </c>
      <c r="D39">
        <v>6</v>
      </c>
      <c r="E39">
        <v>568.38</v>
      </c>
      <c r="F39">
        <v>6</v>
      </c>
      <c r="H39">
        <v>3949.69</v>
      </c>
    </row>
    <row r="40" spans="1:8" x14ac:dyDescent="0.3">
      <c r="A40">
        <v>0</v>
      </c>
      <c r="B40">
        <v>45323</v>
      </c>
      <c r="C40">
        <v>68</v>
      </c>
      <c r="D40">
        <v>21</v>
      </c>
      <c r="E40">
        <v>553.08000000000004</v>
      </c>
      <c r="F40">
        <v>3</v>
      </c>
      <c r="H40">
        <v>360.7</v>
      </c>
    </row>
    <row r="41" spans="1:8" x14ac:dyDescent="0.3">
      <c r="A41">
        <v>0</v>
      </c>
      <c r="B41">
        <v>45323</v>
      </c>
      <c r="C41">
        <v>30</v>
      </c>
      <c r="D41">
        <v>8</v>
      </c>
      <c r="E41">
        <v>223.22</v>
      </c>
      <c r="F41">
        <v>2</v>
      </c>
      <c r="H41">
        <v>3595.12</v>
      </c>
    </row>
    <row r="42" spans="1:8" x14ac:dyDescent="0.3">
      <c r="A42">
        <v>0</v>
      </c>
      <c r="B42">
        <v>45323</v>
      </c>
      <c r="C42">
        <v>69</v>
      </c>
      <c r="D42">
        <v>8</v>
      </c>
      <c r="E42">
        <v>199.93</v>
      </c>
      <c r="F42">
        <v>2</v>
      </c>
      <c r="H42">
        <v>610.66</v>
      </c>
    </row>
    <row r="43" spans="1:8" x14ac:dyDescent="0.3">
      <c r="A43">
        <v>0</v>
      </c>
      <c r="B43">
        <v>45323</v>
      </c>
      <c r="C43">
        <v>92</v>
      </c>
      <c r="D43">
        <v>6</v>
      </c>
      <c r="E43">
        <v>180.46</v>
      </c>
      <c r="F43">
        <v>5</v>
      </c>
      <c r="H43">
        <v>1173.27</v>
      </c>
    </row>
    <row r="44" spans="1:8" x14ac:dyDescent="0.3">
      <c r="A44">
        <v>0</v>
      </c>
      <c r="B44">
        <v>45323</v>
      </c>
      <c r="C44">
        <v>92</v>
      </c>
      <c r="D44">
        <v>7</v>
      </c>
      <c r="E44">
        <v>80.12</v>
      </c>
      <c r="F44">
        <v>6</v>
      </c>
      <c r="H44">
        <v>3794.02</v>
      </c>
    </row>
    <row r="45" spans="1:8" x14ac:dyDescent="0.3">
      <c r="A45">
        <v>0</v>
      </c>
      <c r="B45">
        <v>45323</v>
      </c>
      <c r="C45">
        <v>21</v>
      </c>
      <c r="D45">
        <v>14</v>
      </c>
      <c r="E45">
        <v>563.79</v>
      </c>
      <c r="F45">
        <v>8</v>
      </c>
      <c r="H45">
        <v>3616.21</v>
      </c>
    </row>
    <row r="46" spans="1:8" x14ac:dyDescent="0.3">
      <c r="A46">
        <v>0</v>
      </c>
      <c r="B46">
        <v>45323</v>
      </c>
      <c r="C46">
        <v>83</v>
      </c>
      <c r="D46">
        <v>20</v>
      </c>
      <c r="E46">
        <v>193.39</v>
      </c>
      <c r="F46">
        <v>5</v>
      </c>
      <c r="H46">
        <v>402.53</v>
      </c>
    </row>
    <row r="47" spans="1:8" x14ac:dyDescent="0.3">
      <c r="A47">
        <v>0</v>
      </c>
      <c r="B47">
        <v>45323</v>
      </c>
      <c r="C47">
        <v>57</v>
      </c>
      <c r="D47">
        <v>11</v>
      </c>
      <c r="E47">
        <v>454.77</v>
      </c>
      <c r="F47">
        <v>1</v>
      </c>
      <c r="H47">
        <v>1152.4100000000001</v>
      </c>
    </row>
    <row r="48" spans="1:8" x14ac:dyDescent="0.3">
      <c r="A48">
        <v>0</v>
      </c>
      <c r="B48">
        <v>45323</v>
      </c>
      <c r="C48">
        <v>22</v>
      </c>
      <c r="D48">
        <v>17</v>
      </c>
      <c r="E48">
        <v>291.97000000000003</v>
      </c>
      <c r="F48">
        <v>1</v>
      </c>
      <c r="H48">
        <v>1703.6</v>
      </c>
    </row>
    <row r="49" spans="1:8" x14ac:dyDescent="0.3">
      <c r="A49">
        <v>0</v>
      </c>
      <c r="B49">
        <v>45323</v>
      </c>
      <c r="C49">
        <v>78</v>
      </c>
      <c r="D49">
        <v>5</v>
      </c>
      <c r="E49">
        <v>553.86</v>
      </c>
      <c r="F49">
        <v>1</v>
      </c>
      <c r="H49">
        <v>3503.57</v>
      </c>
    </row>
    <row r="50" spans="1:8" x14ac:dyDescent="0.3">
      <c r="A50">
        <v>0</v>
      </c>
      <c r="B50">
        <v>45323</v>
      </c>
      <c r="C50">
        <v>68</v>
      </c>
      <c r="D50">
        <v>7</v>
      </c>
      <c r="E50">
        <v>171.76</v>
      </c>
      <c r="F50">
        <v>7</v>
      </c>
      <c r="H50">
        <v>548.36</v>
      </c>
    </row>
    <row r="51" spans="1:8" x14ac:dyDescent="0.3">
      <c r="A51">
        <v>0</v>
      </c>
      <c r="B51">
        <v>45323</v>
      </c>
      <c r="C51">
        <v>83</v>
      </c>
      <c r="D51">
        <v>16</v>
      </c>
      <c r="E51">
        <v>382.21</v>
      </c>
      <c r="F51">
        <v>1</v>
      </c>
      <c r="H51">
        <v>3017.43</v>
      </c>
    </row>
    <row r="52" spans="1:8" x14ac:dyDescent="0.3">
      <c r="A52">
        <v>0</v>
      </c>
      <c r="B52">
        <v>45323</v>
      </c>
      <c r="C52">
        <v>31</v>
      </c>
      <c r="D52">
        <v>11</v>
      </c>
      <c r="E52">
        <v>562.73</v>
      </c>
      <c r="F52">
        <v>4</v>
      </c>
      <c r="H52">
        <v>221.94</v>
      </c>
    </row>
    <row r="53" spans="1:8" x14ac:dyDescent="0.3">
      <c r="A53">
        <v>0</v>
      </c>
      <c r="B53">
        <v>45323</v>
      </c>
      <c r="C53">
        <v>34</v>
      </c>
      <c r="D53">
        <v>17</v>
      </c>
      <c r="E53">
        <v>380.37</v>
      </c>
      <c r="F53">
        <v>7</v>
      </c>
      <c r="H53">
        <v>4183.2700000000004</v>
      </c>
    </row>
    <row r="54" spans="1:8" x14ac:dyDescent="0.3">
      <c r="A54">
        <v>0</v>
      </c>
      <c r="B54">
        <v>45352</v>
      </c>
      <c r="C54">
        <v>55</v>
      </c>
      <c r="D54">
        <v>17</v>
      </c>
      <c r="E54">
        <v>315.62</v>
      </c>
      <c r="F54">
        <v>5</v>
      </c>
      <c r="H54">
        <v>3890.73</v>
      </c>
    </row>
    <row r="55" spans="1:8" x14ac:dyDescent="0.3">
      <c r="A55">
        <v>0</v>
      </c>
      <c r="B55">
        <v>45352</v>
      </c>
      <c r="C55">
        <v>91</v>
      </c>
      <c r="D55">
        <v>10</v>
      </c>
      <c r="E55">
        <v>361.58</v>
      </c>
      <c r="F55">
        <v>4</v>
      </c>
      <c r="H55">
        <v>3674.37</v>
      </c>
    </row>
    <row r="56" spans="1:8" x14ac:dyDescent="0.3">
      <c r="A56">
        <v>0</v>
      </c>
      <c r="B56">
        <v>45352</v>
      </c>
      <c r="C56">
        <v>59</v>
      </c>
      <c r="D56">
        <v>13</v>
      </c>
      <c r="E56">
        <v>402.9</v>
      </c>
      <c r="F56">
        <v>2</v>
      </c>
      <c r="H56">
        <v>3357.27</v>
      </c>
    </row>
    <row r="57" spans="1:8" x14ac:dyDescent="0.3">
      <c r="A57">
        <v>0</v>
      </c>
      <c r="B57">
        <v>45352</v>
      </c>
      <c r="C57">
        <v>19</v>
      </c>
      <c r="D57">
        <v>6</v>
      </c>
      <c r="E57">
        <v>82.65</v>
      </c>
      <c r="F57">
        <v>3</v>
      </c>
      <c r="H57">
        <v>1469.62</v>
      </c>
    </row>
    <row r="58" spans="1:8" x14ac:dyDescent="0.3">
      <c r="A58">
        <v>0</v>
      </c>
      <c r="B58">
        <v>45352</v>
      </c>
      <c r="C58">
        <v>77</v>
      </c>
      <c r="D58">
        <v>14</v>
      </c>
      <c r="E58">
        <v>494.43</v>
      </c>
      <c r="F58">
        <v>4</v>
      </c>
      <c r="H58">
        <v>963.35</v>
      </c>
    </row>
    <row r="59" spans="1:8" x14ac:dyDescent="0.3">
      <c r="A59">
        <v>0</v>
      </c>
      <c r="B59">
        <v>45352</v>
      </c>
      <c r="C59">
        <v>50</v>
      </c>
      <c r="D59">
        <v>8</v>
      </c>
      <c r="E59">
        <v>512.92999999999995</v>
      </c>
      <c r="F59">
        <v>3</v>
      </c>
      <c r="H59">
        <v>3725.66</v>
      </c>
    </row>
    <row r="60" spans="1:8" x14ac:dyDescent="0.3">
      <c r="A60">
        <v>0</v>
      </c>
      <c r="B60">
        <v>45352</v>
      </c>
      <c r="C60">
        <v>88</v>
      </c>
      <c r="D60">
        <v>18</v>
      </c>
      <c r="E60">
        <v>291.04000000000002</v>
      </c>
      <c r="F60">
        <v>2</v>
      </c>
      <c r="H60">
        <v>2619.84</v>
      </c>
    </row>
    <row r="61" spans="1:8" x14ac:dyDescent="0.3">
      <c r="A61">
        <v>0</v>
      </c>
      <c r="B61">
        <v>45352</v>
      </c>
      <c r="C61">
        <v>62</v>
      </c>
      <c r="D61">
        <v>9</v>
      </c>
      <c r="E61">
        <v>252.77</v>
      </c>
      <c r="F61">
        <v>7</v>
      </c>
      <c r="H61">
        <v>4641.6099999999997</v>
      </c>
    </row>
    <row r="62" spans="1:8" x14ac:dyDescent="0.3">
      <c r="A62">
        <v>0</v>
      </c>
      <c r="B62">
        <v>45352</v>
      </c>
      <c r="C62">
        <v>33</v>
      </c>
      <c r="D62">
        <v>18</v>
      </c>
      <c r="E62">
        <v>348.57</v>
      </c>
      <c r="F62">
        <v>8</v>
      </c>
      <c r="H62">
        <v>1169.6400000000001</v>
      </c>
    </row>
    <row r="63" spans="1:8" x14ac:dyDescent="0.3">
      <c r="A63">
        <v>0</v>
      </c>
      <c r="B63">
        <v>45352</v>
      </c>
      <c r="C63">
        <v>54</v>
      </c>
      <c r="D63">
        <v>15</v>
      </c>
      <c r="E63">
        <v>321.99</v>
      </c>
      <c r="F63">
        <v>8</v>
      </c>
      <c r="H63">
        <v>1080.0899999999999</v>
      </c>
    </row>
    <row r="64" spans="1:8" x14ac:dyDescent="0.3">
      <c r="A64">
        <v>0</v>
      </c>
      <c r="B64">
        <v>45352</v>
      </c>
      <c r="C64">
        <v>16</v>
      </c>
      <c r="D64">
        <v>9</v>
      </c>
      <c r="E64">
        <v>199.87</v>
      </c>
      <c r="F64">
        <v>9</v>
      </c>
      <c r="H64">
        <v>818.64</v>
      </c>
    </row>
    <row r="65" spans="1:8" x14ac:dyDescent="0.3">
      <c r="A65">
        <v>0</v>
      </c>
      <c r="B65">
        <v>45352</v>
      </c>
      <c r="C65">
        <v>30</v>
      </c>
      <c r="D65">
        <v>5</v>
      </c>
      <c r="E65">
        <v>565.19000000000005</v>
      </c>
      <c r="F65">
        <v>4</v>
      </c>
      <c r="H65">
        <v>3621.51</v>
      </c>
    </row>
    <row r="66" spans="1:8" x14ac:dyDescent="0.3">
      <c r="A66">
        <v>0</v>
      </c>
      <c r="B66">
        <v>45352</v>
      </c>
      <c r="C66">
        <v>68</v>
      </c>
      <c r="D66">
        <v>19</v>
      </c>
      <c r="E66">
        <v>623.25</v>
      </c>
      <c r="F66">
        <v>3</v>
      </c>
      <c r="H66">
        <v>355.96</v>
      </c>
    </row>
    <row r="67" spans="1:8" x14ac:dyDescent="0.3">
      <c r="A67">
        <v>0</v>
      </c>
      <c r="B67">
        <v>45352</v>
      </c>
      <c r="C67">
        <v>31</v>
      </c>
      <c r="D67">
        <v>9</v>
      </c>
      <c r="E67">
        <v>209.18</v>
      </c>
      <c r="F67">
        <v>2</v>
      </c>
      <c r="H67">
        <v>4153.3100000000004</v>
      </c>
    </row>
    <row r="68" spans="1:8" x14ac:dyDescent="0.3">
      <c r="A68">
        <v>0</v>
      </c>
      <c r="B68">
        <v>45352</v>
      </c>
      <c r="C68">
        <v>61</v>
      </c>
      <c r="D68">
        <v>7</v>
      </c>
      <c r="E68">
        <v>190.5</v>
      </c>
      <c r="F68">
        <v>3</v>
      </c>
      <c r="H68">
        <v>661.2</v>
      </c>
    </row>
    <row r="69" spans="1:8" x14ac:dyDescent="0.3">
      <c r="A69">
        <v>0</v>
      </c>
      <c r="B69">
        <v>45352</v>
      </c>
      <c r="C69">
        <v>83</v>
      </c>
      <c r="D69">
        <v>5</v>
      </c>
      <c r="E69">
        <v>170.12</v>
      </c>
      <c r="F69">
        <v>3</v>
      </c>
      <c r="H69">
        <v>1171.95</v>
      </c>
    </row>
    <row r="70" spans="1:8" x14ac:dyDescent="0.3">
      <c r="A70">
        <v>0</v>
      </c>
      <c r="B70">
        <v>45352</v>
      </c>
      <c r="C70">
        <v>74</v>
      </c>
      <c r="D70">
        <v>7</v>
      </c>
      <c r="E70">
        <v>87.89</v>
      </c>
      <c r="F70">
        <v>7</v>
      </c>
      <c r="H70">
        <v>3848.14</v>
      </c>
    </row>
    <row r="71" spans="1:8" x14ac:dyDescent="0.3">
      <c r="A71">
        <v>0</v>
      </c>
      <c r="B71">
        <v>45352</v>
      </c>
      <c r="C71">
        <v>21</v>
      </c>
      <c r="D71">
        <v>14</v>
      </c>
      <c r="E71">
        <v>498.82</v>
      </c>
      <c r="F71">
        <v>5</v>
      </c>
      <c r="H71">
        <v>4039.26</v>
      </c>
    </row>
    <row r="72" spans="1:8" x14ac:dyDescent="0.3">
      <c r="A72">
        <v>0</v>
      </c>
      <c r="B72">
        <v>45352</v>
      </c>
      <c r="C72">
        <v>84</v>
      </c>
      <c r="D72">
        <v>15</v>
      </c>
      <c r="E72">
        <v>163.21</v>
      </c>
      <c r="F72">
        <v>5</v>
      </c>
      <c r="H72">
        <v>411.36</v>
      </c>
    </row>
    <row r="73" spans="1:8" x14ac:dyDescent="0.3">
      <c r="A73">
        <v>0</v>
      </c>
      <c r="B73">
        <v>45352</v>
      </c>
      <c r="C73">
        <v>64</v>
      </c>
      <c r="D73">
        <v>13</v>
      </c>
      <c r="E73">
        <v>496.4</v>
      </c>
      <c r="F73">
        <v>0</v>
      </c>
      <c r="H73">
        <v>1306.3800000000001</v>
      </c>
    </row>
    <row r="74" spans="1:8" x14ac:dyDescent="0.3">
      <c r="A74">
        <v>0</v>
      </c>
      <c r="B74">
        <v>45352</v>
      </c>
      <c r="C74">
        <v>21</v>
      </c>
      <c r="D74">
        <v>13</v>
      </c>
      <c r="E74">
        <v>315.41000000000003</v>
      </c>
      <c r="F74">
        <v>1</v>
      </c>
      <c r="H74">
        <v>1692.59</v>
      </c>
    </row>
    <row r="75" spans="1:8" x14ac:dyDescent="0.3">
      <c r="A75">
        <v>0</v>
      </c>
      <c r="B75">
        <v>45352</v>
      </c>
      <c r="C75">
        <v>110</v>
      </c>
      <c r="D75">
        <v>6</v>
      </c>
      <c r="E75">
        <v>535.37</v>
      </c>
      <c r="F75">
        <v>2</v>
      </c>
      <c r="H75">
        <v>3113.29</v>
      </c>
    </row>
    <row r="76" spans="1:8" x14ac:dyDescent="0.3">
      <c r="A76">
        <v>0</v>
      </c>
      <c r="B76">
        <v>45352</v>
      </c>
      <c r="C76">
        <v>62</v>
      </c>
      <c r="D76">
        <v>8</v>
      </c>
      <c r="E76">
        <v>198.84</v>
      </c>
      <c r="F76">
        <v>8</v>
      </c>
      <c r="H76">
        <v>534.58000000000004</v>
      </c>
    </row>
    <row r="77" spans="1:8" x14ac:dyDescent="0.3">
      <c r="A77">
        <v>0</v>
      </c>
      <c r="B77">
        <v>45352</v>
      </c>
      <c r="C77">
        <v>108</v>
      </c>
      <c r="D77">
        <v>14</v>
      </c>
      <c r="E77">
        <v>416.78</v>
      </c>
      <c r="F77">
        <v>1</v>
      </c>
      <c r="H77">
        <v>2989.69</v>
      </c>
    </row>
    <row r="78" spans="1:8" x14ac:dyDescent="0.3">
      <c r="A78">
        <v>0</v>
      </c>
      <c r="B78">
        <v>45352</v>
      </c>
      <c r="C78">
        <v>28</v>
      </c>
      <c r="D78">
        <v>12</v>
      </c>
      <c r="E78">
        <v>533.85</v>
      </c>
      <c r="F78">
        <v>5</v>
      </c>
      <c r="H78">
        <v>224.87</v>
      </c>
    </row>
    <row r="79" spans="1:8" x14ac:dyDescent="0.3">
      <c r="A79">
        <v>0</v>
      </c>
      <c r="B79">
        <v>45352</v>
      </c>
      <c r="C79">
        <v>39</v>
      </c>
      <c r="D79">
        <v>16</v>
      </c>
      <c r="E79">
        <v>312.8</v>
      </c>
      <c r="F79">
        <v>8</v>
      </c>
      <c r="H79">
        <v>4592.09</v>
      </c>
    </row>
    <row r="80" spans="1:8" x14ac:dyDescent="0.3">
      <c r="A80">
        <v>0</v>
      </c>
      <c r="B80">
        <v>45383</v>
      </c>
      <c r="C80">
        <v>69</v>
      </c>
      <c r="D80">
        <v>17</v>
      </c>
      <c r="E80">
        <v>342.81</v>
      </c>
      <c r="F80">
        <v>6</v>
      </c>
      <c r="H80">
        <v>3728.2</v>
      </c>
    </row>
    <row r="81" spans="1:8" x14ac:dyDescent="0.3">
      <c r="A81">
        <v>0</v>
      </c>
      <c r="B81">
        <v>45383</v>
      </c>
      <c r="C81">
        <v>83</v>
      </c>
      <c r="D81">
        <v>11</v>
      </c>
      <c r="E81">
        <v>365.12</v>
      </c>
      <c r="F81">
        <v>5</v>
      </c>
      <c r="H81">
        <v>3682.69</v>
      </c>
    </row>
    <row r="82" spans="1:8" x14ac:dyDescent="0.3">
      <c r="A82">
        <v>0</v>
      </c>
      <c r="B82">
        <v>45383</v>
      </c>
      <c r="C82">
        <v>41</v>
      </c>
      <c r="D82">
        <v>14</v>
      </c>
      <c r="E82">
        <v>416.88</v>
      </c>
      <c r="F82">
        <v>2</v>
      </c>
      <c r="H82">
        <v>3638.83</v>
      </c>
    </row>
    <row r="83" spans="1:8" x14ac:dyDescent="0.3">
      <c r="A83">
        <v>0</v>
      </c>
      <c r="B83">
        <v>45383</v>
      </c>
      <c r="C83">
        <v>17</v>
      </c>
      <c r="D83">
        <v>7</v>
      </c>
      <c r="E83">
        <v>81.14</v>
      </c>
      <c r="F83">
        <v>3</v>
      </c>
      <c r="H83">
        <v>1419.04</v>
      </c>
    </row>
    <row r="84" spans="1:8" x14ac:dyDescent="0.3">
      <c r="A84">
        <v>0</v>
      </c>
      <c r="B84">
        <v>45383</v>
      </c>
      <c r="C84">
        <v>76</v>
      </c>
      <c r="D84">
        <v>16</v>
      </c>
      <c r="E84">
        <v>449.04</v>
      </c>
      <c r="F84">
        <v>4</v>
      </c>
      <c r="H84">
        <v>1019.97</v>
      </c>
    </row>
    <row r="85" spans="1:8" x14ac:dyDescent="0.3">
      <c r="A85">
        <v>0</v>
      </c>
      <c r="B85">
        <v>45383</v>
      </c>
      <c r="C85">
        <v>72</v>
      </c>
      <c r="D85">
        <v>6</v>
      </c>
      <c r="E85">
        <v>508.55</v>
      </c>
      <c r="F85">
        <v>3</v>
      </c>
      <c r="H85">
        <v>3633.75</v>
      </c>
    </row>
    <row r="86" spans="1:8" x14ac:dyDescent="0.3">
      <c r="A86">
        <v>0</v>
      </c>
      <c r="B86">
        <v>45383</v>
      </c>
      <c r="C86">
        <v>72</v>
      </c>
      <c r="D86">
        <v>18</v>
      </c>
      <c r="E86">
        <v>299.08999999999997</v>
      </c>
      <c r="F86">
        <v>2</v>
      </c>
      <c r="H86">
        <v>2378.29</v>
      </c>
    </row>
    <row r="87" spans="1:8" x14ac:dyDescent="0.3">
      <c r="A87">
        <v>0</v>
      </c>
      <c r="B87">
        <v>45383</v>
      </c>
      <c r="C87">
        <v>44</v>
      </c>
      <c r="D87">
        <v>6</v>
      </c>
      <c r="E87">
        <v>246.21</v>
      </c>
      <c r="F87">
        <v>5</v>
      </c>
      <c r="H87">
        <v>4155.8</v>
      </c>
    </row>
    <row r="88" spans="1:8" x14ac:dyDescent="0.3">
      <c r="A88">
        <v>0</v>
      </c>
      <c r="B88">
        <v>45383</v>
      </c>
      <c r="C88">
        <v>29</v>
      </c>
      <c r="D88">
        <v>16</v>
      </c>
      <c r="E88">
        <v>412.07</v>
      </c>
      <c r="F88">
        <v>10</v>
      </c>
      <c r="H88">
        <v>1075.94</v>
      </c>
    </row>
    <row r="89" spans="1:8" x14ac:dyDescent="0.3">
      <c r="A89">
        <v>0</v>
      </c>
      <c r="B89">
        <v>45383</v>
      </c>
      <c r="C89">
        <v>64</v>
      </c>
      <c r="D89">
        <v>13</v>
      </c>
      <c r="E89">
        <v>317.58</v>
      </c>
      <c r="F89">
        <v>8</v>
      </c>
      <c r="H89">
        <v>1088.22</v>
      </c>
    </row>
    <row r="90" spans="1:8" x14ac:dyDescent="0.3">
      <c r="A90">
        <v>0</v>
      </c>
      <c r="B90">
        <v>45383</v>
      </c>
      <c r="C90">
        <v>16</v>
      </c>
      <c r="D90">
        <v>7</v>
      </c>
      <c r="E90">
        <v>181.58</v>
      </c>
      <c r="F90">
        <v>6</v>
      </c>
      <c r="H90">
        <v>868.4</v>
      </c>
    </row>
    <row r="91" spans="1:8" x14ac:dyDescent="0.3">
      <c r="A91">
        <v>0</v>
      </c>
      <c r="B91">
        <v>45383</v>
      </c>
      <c r="C91">
        <v>37</v>
      </c>
      <c r="D91">
        <v>7</v>
      </c>
      <c r="E91">
        <v>470.85</v>
      </c>
      <c r="F91">
        <v>7</v>
      </c>
      <c r="H91">
        <v>3483.6</v>
      </c>
    </row>
    <row r="92" spans="1:8" x14ac:dyDescent="0.3">
      <c r="A92">
        <v>0</v>
      </c>
      <c r="B92">
        <v>45383</v>
      </c>
      <c r="C92">
        <v>81</v>
      </c>
      <c r="D92">
        <v>16</v>
      </c>
      <c r="E92">
        <v>584.29999999999995</v>
      </c>
      <c r="F92">
        <v>3</v>
      </c>
      <c r="H92">
        <v>377.45</v>
      </c>
    </row>
    <row r="93" spans="1:8" x14ac:dyDescent="0.3">
      <c r="A93">
        <v>0</v>
      </c>
      <c r="B93">
        <v>45383</v>
      </c>
      <c r="C93">
        <v>26</v>
      </c>
      <c r="D93">
        <v>6</v>
      </c>
      <c r="E93">
        <v>231.59</v>
      </c>
      <c r="F93">
        <v>2</v>
      </c>
      <c r="H93">
        <v>3988.15</v>
      </c>
    </row>
    <row r="94" spans="1:8" x14ac:dyDescent="0.3">
      <c r="A94">
        <v>0</v>
      </c>
      <c r="B94">
        <v>45383</v>
      </c>
      <c r="C94">
        <v>69</v>
      </c>
      <c r="D94">
        <v>9</v>
      </c>
      <c r="E94">
        <v>221.01</v>
      </c>
      <c r="F94">
        <v>3</v>
      </c>
      <c r="H94">
        <v>643.44000000000005</v>
      </c>
    </row>
    <row r="95" spans="1:8" x14ac:dyDescent="0.3">
      <c r="A95">
        <v>0</v>
      </c>
      <c r="B95">
        <v>45383</v>
      </c>
      <c r="C95">
        <v>103</v>
      </c>
      <c r="D95">
        <v>6</v>
      </c>
      <c r="E95">
        <v>165.74</v>
      </c>
      <c r="F95">
        <v>6</v>
      </c>
      <c r="H95">
        <v>1169.3800000000001</v>
      </c>
    </row>
    <row r="96" spans="1:8" x14ac:dyDescent="0.3">
      <c r="A96">
        <v>0</v>
      </c>
      <c r="B96">
        <v>45383</v>
      </c>
      <c r="C96">
        <v>100</v>
      </c>
      <c r="D96">
        <v>7</v>
      </c>
      <c r="E96">
        <v>82.62</v>
      </c>
      <c r="F96">
        <v>6</v>
      </c>
      <c r="H96">
        <v>4085.91</v>
      </c>
    </row>
    <row r="97" spans="1:8" x14ac:dyDescent="0.3">
      <c r="A97">
        <v>0</v>
      </c>
      <c r="B97">
        <v>45383</v>
      </c>
      <c r="C97">
        <v>26</v>
      </c>
      <c r="D97">
        <v>17</v>
      </c>
      <c r="E97">
        <v>526.34</v>
      </c>
      <c r="F97">
        <v>6</v>
      </c>
      <c r="H97">
        <v>3360.11</v>
      </c>
    </row>
    <row r="98" spans="1:8" x14ac:dyDescent="0.3">
      <c r="A98">
        <v>0</v>
      </c>
      <c r="B98">
        <v>45383</v>
      </c>
      <c r="C98">
        <v>104</v>
      </c>
      <c r="D98">
        <v>22</v>
      </c>
      <c r="E98">
        <v>190.87</v>
      </c>
      <c r="F98">
        <v>4</v>
      </c>
      <c r="H98">
        <v>433.41</v>
      </c>
    </row>
    <row r="99" spans="1:8" x14ac:dyDescent="0.3">
      <c r="A99">
        <v>0</v>
      </c>
      <c r="B99">
        <v>45383</v>
      </c>
      <c r="C99">
        <v>63</v>
      </c>
      <c r="D99">
        <v>11</v>
      </c>
      <c r="E99">
        <v>554.51</v>
      </c>
      <c r="F99">
        <v>1</v>
      </c>
      <c r="H99">
        <v>1138.51</v>
      </c>
    </row>
    <row r="100" spans="1:8" x14ac:dyDescent="0.3">
      <c r="A100">
        <v>0</v>
      </c>
      <c r="B100">
        <v>45383</v>
      </c>
      <c r="C100">
        <v>22</v>
      </c>
      <c r="D100">
        <v>13</v>
      </c>
      <c r="E100">
        <v>302.49</v>
      </c>
      <c r="F100">
        <v>2</v>
      </c>
      <c r="H100">
        <v>1591.45</v>
      </c>
    </row>
    <row r="101" spans="1:8" x14ac:dyDescent="0.3">
      <c r="A101">
        <v>0</v>
      </c>
      <c r="B101">
        <v>45383</v>
      </c>
      <c r="C101">
        <v>91</v>
      </c>
      <c r="D101">
        <v>5</v>
      </c>
      <c r="E101">
        <v>605.11</v>
      </c>
      <c r="F101">
        <v>2</v>
      </c>
      <c r="H101">
        <v>3499.88</v>
      </c>
    </row>
    <row r="102" spans="1:8" x14ac:dyDescent="0.3">
      <c r="A102">
        <v>0</v>
      </c>
      <c r="B102">
        <v>45383</v>
      </c>
      <c r="C102">
        <v>77</v>
      </c>
      <c r="D102">
        <v>8</v>
      </c>
      <c r="E102">
        <v>173.88</v>
      </c>
      <c r="F102">
        <v>6</v>
      </c>
      <c r="H102">
        <v>462.44</v>
      </c>
    </row>
    <row r="103" spans="1:8" x14ac:dyDescent="0.3">
      <c r="A103">
        <v>0</v>
      </c>
      <c r="B103">
        <v>45383</v>
      </c>
      <c r="C103">
        <v>90</v>
      </c>
      <c r="D103">
        <v>17</v>
      </c>
      <c r="E103">
        <v>366.84</v>
      </c>
      <c r="F103">
        <v>0</v>
      </c>
      <c r="H103">
        <v>3153.56</v>
      </c>
    </row>
    <row r="104" spans="1:8" x14ac:dyDescent="0.3">
      <c r="A104">
        <v>0</v>
      </c>
      <c r="B104">
        <v>45383</v>
      </c>
      <c r="C104">
        <v>33</v>
      </c>
      <c r="D104">
        <v>9</v>
      </c>
      <c r="E104">
        <v>578.41999999999996</v>
      </c>
      <c r="F104">
        <v>4</v>
      </c>
      <c r="H104">
        <v>229.72</v>
      </c>
    </row>
    <row r="105" spans="1:8" x14ac:dyDescent="0.3">
      <c r="A105">
        <v>0</v>
      </c>
      <c r="B105">
        <v>45383</v>
      </c>
      <c r="C105">
        <v>42</v>
      </c>
      <c r="D105">
        <v>14</v>
      </c>
      <c r="E105">
        <v>321.29000000000002</v>
      </c>
      <c r="F105">
        <v>7</v>
      </c>
      <c r="H105">
        <v>4298.2700000000004</v>
      </c>
    </row>
    <row r="106" spans="1:8" x14ac:dyDescent="0.3">
      <c r="A106">
        <v>0</v>
      </c>
      <c r="B106">
        <v>45413</v>
      </c>
      <c r="C106">
        <v>69</v>
      </c>
      <c r="D106">
        <v>16</v>
      </c>
      <c r="E106">
        <v>299.22000000000003</v>
      </c>
      <c r="F106">
        <v>6</v>
      </c>
      <c r="H106">
        <v>3716.14</v>
      </c>
    </row>
    <row r="107" spans="1:8" x14ac:dyDescent="0.3">
      <c r="A107">
        <v>0</v>
      </c>
      <c r="B107">
        <v>45413</v>
      </c>
      <c r="C107">
        <v>68</v>
      </c>
      <c r="D107">
        <v>11</v>
      </c>
      <c r="E107">
        <v>345.62</v>
      </c>
      <c r="F107">
        <v>4</v>
      </c>
      <c r="H107">
        <v>3558.13</v>
      </c>
    </row>
    <row r="108" spans="1:8" x14ac:dyDescent="0.3">
      <c r="A108">
        <v>0</v>
      </c>
      <c r="B108">
        <v>45413</v>
      </c>
      <c r="C108">
        <v>45</v>
      </c>
      <c r="D108">
        <v>17</v>
      </c>
      <c r="E108">
        <v>416.96</v>
      </c>
      <c r="F108">
        <v>3</v>
      </c>
      <c r="H108">
        <v>3327.07</v>
      </c>
    </row>
    <row r="109" spans="1:8" x14ac:dyDescent="0.3">
      <c r="A109">
        <v>0</v>
      </c>
      <c r="B109">
        <v>45413</v>
      </c>
      <c r="C109">
        <v>17</v>
      </c>
      <c r="D109">
        <v>8</v>
      </c>
      <c r="E109">
        <v>72.05</v>
      </c>
      <c r="F109">
        <v>3</v>
      </c>
      <c r="H109">
        <v>1672.82</v>
      </c>
    </row>
    <row r="110" spans="1:8" x14ac:dyDescent="0.3">
      <c r="A110">
        <v>0</v>
      </c>
      <c r="B110">
        <v>45413</v>
      </c>
      <c r="C110">
        <v>85</v>
      </c>
      <c r="D110">
        <v>13</v>
      </c>
      <c r="E110">
        <v>475.61</v>
      </c>
      <c r="F110">
        <v>5</v>
      </c>
      <c r="H110">
        <v>939.32</v>
      </c>
    </row>
    <row r="111" spans="1:8" x14ac:dyDescent="0.3">
      <c r="A111">
        <v>0</v>
      </c>
      <c r="B111">
        <v>45413</v>
      </c>
      <c r="C111">
        <v>49</v>
      </c>
      <c r="D111">
        <v>7</v>
      </c>
      <c r="E111">
        <v>469.53</v>
      </c>
      <c r="F111">
        <v>3</v>
      </c>
      <c r="H111">
        <v>3623.32</v>
      </c>
    </row>
    <row r="112" spans="1:8" x14ac:dyDescent="0.3">
      <c r="A112">
        <v>0</v>
      </c>
      <c r="B112">
        <v>45413</v>
      </c>
      <c r="C112">
        <v>66</v>
      </c>
      <c r="D112">
        <v>15</v>
      </c>
      <c r="E112">
        <v>333.1</v>
      </c>
      <c r="F112">
        <v>2</v>
      </c>
      <c r="H112">
        <v>2631.58</v>
      </c>
    </row>
    <row r="113" spans="1:8" x14ac:dyDescent="0.3">
      <c r="A113">
        <v>0</v>
      </c>
      <c r="B113">
        <v>45413</v>
      </c>
      <c r="C113">
        <v>63</v>
      </c>
      <c r="D113">
        <v>9</v>
      </c>
      <c r="E113">
        <v>258.11</v>
      </c>
      <c r="F113">
        <v>7</v>
      </c>
      <c r="H113">
        <v>4064.36</v>
      </c>
    </row>
    <row r="114" spans="1:8" x14ac:dyDescent="0.3">
      <c r="A114">
        <v>0</v>
      </c>
      <c r="B114">
        <v>45413</v>
      </c>
      <c r="C114">
        <v>31</v>
      </c>
      <c r="D114">
        <v>20</v>
      </c>
      <c r="E114">
        <v>400.8</v>
      </c>
      <c r="F114">
        <v>8</v>
      </c>
      <c r="H114">
        <v>1294.3599999999999</v>
      </c>
    </row>
    <row r="115" spans="1:8" x14ac:dyDescent="0.3">
      <c r="A115">
        <v>0</v>
      </c>
      <c r="B115">
        <v>45413</v>
      </c>
      <c r="C115">
        <v>75</v>
      </c>
      <c r="D115">
        <v>19</v>
      </c>
      <c r="E115">
        <v>343.28</v>
      </c>
      <c r="F115">
        <v>9</v>
      </c>
      <c r="H115">
        <v>899.46</v>
      </c>
    </row>
    <row r="116" spans="1:8" x14ac:dyDescent="0.3">
      <c r="A116">
        <v>0</v>
      </c>
      <c r="B116">
        <v>45413</v>
      </c>
      <c r="C116">
        <v>18</v>
      </c>
      <c r="D116">
        <v>7</v>
      </c>
      <c r="E116">
        <v>204.63</v>
      </c>
      <c r="F116">
        <v>7</v>
      </c>
      <c r="H116">
        <v>789.77</v>
      </c>
    </row>
    <row r="117" spans="1:8" x14ac:dyDescent="0.3">
      <c r="A117">
        <v>0</v>
      </c>
      <c r="B117">
        <v>45413</v>
      </c>
      <c r="C117">
        <v>35</v>
      </c>
      <c r="D117">
        <v>6</v>
      </c>
      <c r="E117">
        <v>553.11</v>
      </c>
      <c r="F117">
        <v>4</v>
      </c>
      <c r="H117">
        <v>3867.67</v>
      </c>
    </row>
    <row r="118" spans="1:8" x14ac:dyDescent="0.3">
      <c r="A118">
        <v>0</v>
      </c>
      <c r="B118">
        <v>45413</v>
      </c>
      <c r="C118">
        <v>74</v>
      </c>
      <c r="D118">
        <v>20</v>
      </c>
      <c r="E118">
        <v>623.33000000000004</v>
      </c>
      <c r="F118">
        <v>2</v>
      </c>
      <c r="H118">
        <v>359.97</v>
      </c>
    </row>
    <row r="119" spans="1:8" x14ac:dyDescent="0.3">
      <c r="A119">
        <v>0</v>
      </c>
      <c r="B119">
        <v>45413</v>
      </c>
      <c r="C119">
        <v>26</v>
      </c>
      <c r="D119">
        <v>7</v>
      </c>
      <c r="E119">
        <v>200.45</v>
      </c>
      <c r="F119">
        <v>1</v>
      </c>
      <c r="H119">
        <v>3797.35</v>
      </c>
    </row>
    <row r="120" spans="1:8" x14ac:dyDescent="0.3">
      <c r="A120">
        <v>0</v>
      </c>
      <c r="B120">
        <v>45413</v>
      </c>
      <c r="C120">
        <v>50</v>
      </c>
      <c r="D120">
        <v>7</v>
      </c>
      <c r="E120">
        <v>196.2</v>
      </c>
      <c r="F120">
        <v>2</v>
      </c>
      <c r="H120">
        <v>592.71</v>
      </c>
    </row>
    <row r="121" spans="1:8" x14ac:dyDescent="0.3">
      <c r="A121">
        <v>0</v>
      </c>
      <c r="B121">
        <v>45413</v>
      </c>
      <c r="C121">
        <v>97</v>
      </c>
      <c r="D121">
        <v>5</v>
      </c>
      <c r="E121">
        <v>185.62</v>
      </c>
      <c r="F121">
        <v>4</v>
      </c>
      <c r="H121">
        <v>1282.81</v>
      </c>
    </row>
    <row r="122" spans="1:8" x14ac:dyDescent="0.3">
      <c r="A122">
        <v>0</v>
      </c>
      <c r="B122">
        <v>45413</v>
      </c>
      <c r="C122">
        <v>91</v>
      </c>
      <c r="D122">
        <v>7</v>
      </c>
      <c r="E122">
        <v>89.39</v>
      </c>
      <c r="F122">
        <v>6</v>
      </c>
      <c r="H122">
        <v>3971.59</v>
      </c>
    </row>
    <row r="123" spans="1:8" x14ac:dyDescent="0.3">
      <c r="A123">
        <v>0</v>
      </c>
      <c r="B123">
        <v>45413</v>
      </c>
      <c r="C123">
        <v>21</v>
      </c>
      <c r="D123">
        <v>14</v>
      </c>
      <c r="E123">
        <v>472.79</v>
      </c>
      <c r="F123">
        <v>8</v>
      </c>
      <c r="H123">
        <v>3830.32</v>
      </c>
    </row>
    <row r="124" spans="1:8" x14ac:dyDescent="0.3">
      <c r="A124">
        <v>0</v>
      </c>
      <c r="B124">
        <v>45413</v>
      </c>
      <c r="C124">
        <v>91</v>
      </c>
      <c r="D124">
        <v>15</v>
      </c>
      <c r="E124">
        <v>173.03</v>
      </c>
      <c r="F124">
        <v>4</v>
      </c>
      <c r="H124">
        <v>386.08</v>
      </c>
    </row>
    <row r="125" spans="1:8" x14ac:dyDescent="0.3">
      <c r="A125">
        <v>0</v>
      </c>
      <c r="B125">
        <v>45413</v>
      </c>
      <c r="C125">
        <v>67</v>
      </c>
      <c r="D125">
        <v>15</v>
      </c>
      <c r="E125">
        <v>499.68</v>
      </c>
      <c r="F125">
        <v>0</v>
      </c>
      <c r="H125">
        <v>1287.1300000000001</v>
      </c>
    </row>
    <row r="126" spans="1:8" x14ac:dyDescent="0.3">
      <c r="A126">
        <v>0</v>
      </c>
      <c r="B126">
        <v>45413</v>
      </c>
      <c r="C126">
        <v>19</v>
      </c>
      <c r="D126">
        <v>13</v>
      </c>
      <c r="E126">
        <v>316.23</v>
      </c>
      <c r="F126">
        <v>1</v>
      </c>
      <c r="H126">
        <v>1598.49</v>
      </c>
    </row>
    <row r="127" spans="1:8" x14ac:dyDescent="0.3">
      <c r="A127">
        <v>0</v>
      </c>
      <c r="B127">
        <v>45413</v>
      </c>
      <c r="C127">
        <v>105</v>
      </c>
      <c r="D127">
        <v>6</v>
      </c>
      <c r="E127">
        <v>567.03</v>
      </c>
      <c r="F127">
        <v>1</v>
      </c>
      <c r="H127">
        <v>3496.65</v>
      </c>
    </row>
    <row r="128" spans="1:8" x14ac:dyDescent="0.3">
      <c r="A128">
        <v>0</v>
      </c>
      <c r="B128">
        <v>45413</v>
      </c>
      <c r="C128">
        <v>73</v>
      </c>
      <c r="D128">
        <v>8</v>
      </c>
      <c r="E128">
        <v>175.52</v>
      </c>
      <c r="F128">
        <v>7</v>
      </c>
      <c r="H128">
        <v>455.32</v>
      </c>
    </row>
    <row r="129" spans="1:8" x14ac:dyDescent="0.3">
      <c r="A129">
        <v>0</v>
      </c>
      <c r="B129">
        <v>45413</v>
      </c>
      <c r="C129">
        <v>111</v>
      </c>
      <c r="D129">
        <v>13</v>
      </c>
      <c r="E129">
        <v>358.31</v>
      </c>
      <c r="F129">
        <v>0</v>
      </c>
      <c r="H129">
        <v>2811.77</v>
      </c>
    </row>
    <row r="130" spans="1:8" x14ac:dyDescent="0.3">
      <c r="A130">
        <v>0</v>
      </c>
      <c r="B130">
        <v>45413</v>
      </c>
      <c r="C130">
        <v>38</v>
      </c>
      <c r="D130">
        <v>12</v>
      </c>
      <c r="E130">
        <v>556.33000000000004</v>
      </c>
      <c r="F130">
        <v>4</v>
      </c>
      <c r="H130">
        <v>241.08</v>
      </c>
    </row>
    <row r="131" spans="1:8" x14ac:dyDescent="0.3">
      <c r="A131">
        <v>0</v>
      </c>
      <c r="B131">
        <v>45413</v>
      </c>
      <c r="C131">
        <v>33</v>
      </c>
      <c r="D131">
        <v>17</v>
      </c>
      <c r="E131">
        <v>371.65</v>
      </c>
      <c r="F131">
        <v>9</v>
      </c>
      <c r="H131">
        <v>4068.75</v>
      </c>
    </row>
    <row r="132" spans="1:8" x14ac:dyDescent="0.3">
      <c r="A132">
        <v>0</v>
      </c>
      <c r="B132">
        <v>45444</v>
      </c>
      <c r="C132">
        <v>59</v>
      </c>
      <c r="D132">
        <v>16</v>
      </c>
      <c r="E132">
        <v>359.47</v>
      </c>
      <c r="F132">
        <v>7</v>
      </c>
      <c r="H132">
        <v>3958.94</v>
      </c>
    </row>
    <row r="133" spans="1:8" x14ac:dyDescent="0.3">
      <c r="A133">
        <v>0</v>
      </c>
      <c r="B133">
        <v>45444</v>
      </c>
      <c r="C133">
        <v>71</v>
      </c>
      <c r="D133">
        <v>11</v>
      </c>
      <c r="E133">
        <v>379.33</v>
      </c>
      <c r="F133">
        <v>4</v>
      </c>
      <c r="H133">
        <v>4003.52</v>
      </c>
    </row>
    <row r="134" spans="1:8" x14ac:dyDescent="0.3">
      <c r="A134">
        <v>0</v>
      </c>
      <c r="B134">
        <v>45444</v>
      </c>
      <c r="C134">
        <v>48</v>
      </c>
      <c r="D134">
        <v>14</v>
      </c>
      <c r="E134">
        <v>383.94</v>
      </c>
      <c r="F134">
        <v>3</v>
      </c>
      <c r="H134">
        <v>3173.36</v>
      </c>
    </row>
    <row r="135" spans="1:8" x14ac:dyDescent="0.3">
      <c r="A135">
        <v>0</v>
      </c>
      <c r="B135">
        <v>45444</v>
      </c>
      <c r="C135">
        <v>18</v>
      </c>
      <c r="D135">
        <v>7</v>
      </c>
      <c r="E135">
        <v>85.32</v>
      </c>
      <c r="F135">
        <v>3</v>
      </c>
      <c r="H135">
        <v>1431.69</v>
      </c>
    </row>
    <row r="136" spans="1:8" x14ac:dyDescent="0.3">
      <c r="A136">
        <v>0</v>
      </c>
      <c r="B136">
        <v>45444</v>
      </c>
      <c r="C136">
        <v>93</v>
      </c>
      <c r="D136">
        <v>14</v>
      </c>
      <c r="E136">
        <v>466.81</v>
      </c>
      <c r="F136">
        <v>5</v>
      </c>
      <c r="H136">
        <v>988.98</v>
      </c>
    </row>
    <row r="137" spans="1:8" x14ac:dyDescent="0.3">
      <c r="A137">
        <v>0</v>
      </c>
      <c r="B137">
        <v>45444</v>
      </c>
      <c r="C137">
        <v>49</v>
      </c>
      <c r="D137">
        <v>7</v>
      </c>
      <c r="E137">
        <v>512.88</v>
      </c>
      <c r="F137">
        <v>2</v>
      </c>
      <c r="H137">
        <v>3545.66</v>
      </c>
    </row>
    <row r="138" spans="1:8" x14ac:dyDescent="0.3">
      <c r="A138">
        <v>0</v>
      </c>
      <c r="B138">
        <v>45444</v>
      </c>
      <c r="C138">
        <v>85</v>
      </c>
      <c r="D138">
        <v>17</v>
      </c>
      <c r="E138">
        <v>324.56</v>
      </c>
      <c r="F138">
        <v>3</v>
      </c>
      <c r="H138">
        <v>2420.5300000000002</v>
      </c>
    </row>
    <row r="139" spans="1:8" x14ac:dyDescent="0.3">
      <c r="A139">
        <v>0</v>
      </c>
      <c r="B139">
        <v>45444</v>
      </c>
      <c r="C139">
        <v>61</v>
      </c>
      <c r="D139">
        <v>7</v>
      </c>
      <c r="E139">
        <v>219.53</v>
      </c>
      <c r="F139">
        <v>7</v>
      </c>
      <c r="H139">
        <v>3860.12</v>
      </c>
    </row>
    <row r="140" spans="1:8" x14ac:dyDescent="0.3">
      <c r="A140">
        <v>0</v>
      </c>
      <c r="B140">
        <v>45444</v>
      </c>
      <c r="C140">
        <v>30</v>
      </c>
      <c r="D140">
        <v>16</v>
      </c>
      <c r="E140">
        <v>353.65</v>
      </c>
      <c r="F140">
        <v>9</v>
      </c>
      <c r="H140">
        <v>1213.5899999999999</v>
      </c>
    </row>
    <row r="141" spans="1:8" x14ac:dyDescent="0.3">
      <c r="A141">
        <v>0</v>
      </c>
      <c r="B141">
        <v>45444</v>
      </c>
      <c r="C141">
        <v>54</v>
      </c>
      <c r="D141">
        <v>16</v>
      </c>
      <c r="E141">
        <v>334.41</v>
      </c>
      <c r="F141">
        <v>9</v>
      </c>
      <c r="H141">
        <v>1056.98</v>
      </c>
    </row>
    <row r="142" spans="1:8" x14ac:dyDescent="0.3">
      <c r="A142">
        <v>0</v>
      </c>
      <c r="B142">
        <v>45444</v>
      </c>
      <c r="C142">
        <v>19</v>
      </c>
      <c r="D142">
        <v>7</v>
      </c>
      <c r="E142">
        <v>199.46</v>
      </c>
      <c r="F142">
        <v>7</v>
      </c>
      <c r="H142">
        <v>809.56</v>
      </c>
    </row>
    <row r="143" spans="1:8" x14ac:dyDescent="0.3">
      <c r="A143">
        <v>0</v>
      </c>
      <c r="B143">
        <v>45444</v>
      </c>
      <c r="C143">
        <v>40</v>
      </c>
      <c r="D143">
        <v>6</v>
      </c>
      <c r="E143">
        <v>509.67</v>
      </c>
      <c r="F143">
        <v>4</v>
      </c>
      <c r="H143">
        <v>3330.44</v>
      </c>
    </row>
    <row r="144" spans="1:8" x14ac:dyDescent="0.3">
      <c r="A144">
        <v>0</v>
      </c>
      <c r="B144">
        <v>45444</v>
      </c>
      <c r="C144">
        <v>73</v>
      </c>
      <c r="D144">
        <v>21</v>
      </c>
      <c r="E144">
        <v>601.02</v>
      </c>
      <c r="F144">
        <v>2</v>
      </c>
      <c r="H144">
        <v>364.56</v>
      </c>
    </row>
    <row r="145" spans="1:8" x14ac:dyDescent="0.3">
      <c r="A145">
        <v>0</v>
      </c>
      <c r="B145">
        <v>45444</v>
      </c>
      <c r="C145">
        <v>36</v>
      </c>
      <c r="D145">
        <v>9</v>
      </c>
      <c r="E145">
        <v>196.74</v>
      </c>
      <c r="F145">
        <v>1</v>
      </c>
      <c r="H145">
        <v>3760.57</v>
      </c>
    </row>
    <row r="146" spans="1:8" x14ac:dyDescent="0.3">
      <c r="A146">
        <v>0</v>
      </c>
      <c r="B146">
        <v>45444</v>
      </c>
      <c r="C146">
        <v>58</v>
      </c>
      <c r="D146">
        <v>8</v>
      </c>
      <c r="E146">
        <v>196.58</v>
      </c>
      <c r="F146">
        <v>3</v>
      </c>
      <c r="H146">
        <v>692.47</v>
      </c>
    </row>
    <row r="147" spans="1:8" x14ac:dyDescent="0.3">
      <c r="A147">
        <v>0</v>
      </c>
      <c r="B147">
        <v>45444</v>
      </c>
      <c r="C147">
        <v>100</v>
      </c>
      <c r="D147">
        <v>5</v>
      </c>
      <c r="E147">
        <v>153.87</v>
      </c>
      <c r="F147">
        <v>2</v>
      </c>
      <c r="H147">
        <v>1190.24</v>
      </c>
    </row>
    <row r="148" spans="1:8" x14ac:dyDescent="0.3">
      <c r="A148">
        <v>0</v>
      </c>
      <c r="B148">
        <v>45444</v>
      </c>
      <c r="C148">
        <v>93</v>
      </c>
      <c r="D148">
        <v>5</v>
      </c>
      <c r="E148">
        <v>85.65</v>
      </c>
      <c r="F148">
        <v>5</v>
      </c>
      <c r="H148">
        <v>3913.17</v>
      </c>
    </row>
    <row r="149" spans="1:8" x14ac:dyDescent="0.3">
      <c r="A149">
        <v>0</v>
      </c>
      <c r="B149">
        <v>45444</v>
      </c>
      <c r="C149">
        <v>28</v>
      </c>
      <c r="D149">
        <v>16</v>
      </c>
      <c r="E149">
        <v>506.95</v>
      </c>
      <c r="F149">
        <v>6</v>
      </c>
      <c r="H149">
        <v>3993.03</v>
      </c>
    </row>
    <row r="150" spans="1:8" x14ac:dyDescent="0.3">
      <c r="A150">
        <v>0</v>
      </c>
      <c r="B150">
        <v>45444</v>
      </c>
      <c r="C150">
        <v>88</v>
      </c>
      <c r="D150">
        <v>18</v>
      </c>
      <c r="E150">
        <v>181.21</v>
      </c>
      <c r="F150">
        <v>4</v>
      </c>
      <c r="H150">
        <v>377.13</v>
      </c>
    </row>
    <row r="151" spans="1:8" x14ac:dyDescent="0.3">
      <c r="A151">
        <v>0</v>
      </c>
      <c r="B151">
        <v>45444</v>
      </c>
      <c r="C151">
        <v>69</v>
      </c>
      <c r="D151">
        <v>16</v>
      </c>
      <c r="E151">
        <v>495.32</v>
      </c>
      <c r="F151">
        <v>0</v>
      </c>
      <c r="H151">
        <v>1262.99</v>
      </c>
    </row>
    <row r="152" spans="1:8" x14ac:dyDescent="0.3">
      <c r="A152">
        <v>0</v>
      </c>
      <c r="B152">
        <v>45444</v>
      </c>
      <c r="C152">
        <v>21</v>
      </c>
      <c r="D152">
        <v>16</v>
      </c>
      <c r="E152">
        <v>315.91000000000003</v>
      </c>
      <c r="F152">
        <v>1</v>
      </c>
      <c r="H152">
        <v>1455.83</v>
      </c>
    </row>
    <row r="153" spans="1:8" x14ac:dyDescent="0.3">
      <c r="A153">
        <v>0</v>
      </c>
      <c r="B153">
        <v>45444</v>
      </c>
      <c r="C153">
        <v>92</v>
      </c>
      <c r="D153">
        <v>5</v>
      </c>
      <c r="E153">
        <v>569.75</v>
      </c>
      <c r="F153">
        <v>2</v>
      </c>
      <c r="H153">
        <v>3734.43</v>
      </c>
    </row>
    <row r="154" spans="1:8" x14ac:dyDescent="0.3">
      <c r="A154">
        <v>0</v>
      </c>
      <c r="B154">
        <v>45444</v>
      </c>
      <c r="C154">
        <v>58</v>
      </c>
      <c r="D154">
        <v>7</v>
      </c>
      <c r="E154">
        <v>173.24</v>
      </c>
      <c r="F154">
        <v>7</v>
      </c>
      <c r="H154">
        <v>525.73</v>
      </c>
    </row>
    <row r="155" spans="1:8" x14ac:dyDescent="0.3">
      <c r="A155">
        <v>0</v>
      </c>
      <c r="B155">
        <v>45444</v>
      </c>
      <c r="C155">
        <v>114</v>
      </c>
      <c r="D155">
        <v>13</v>
      </c>
      <c r="E155">
        <v>364.35</v>
      </c>
      <c r="F155">
        <v>0</v>
      </c>
      <c r="H155">
        <v>2988.28</v>
      </c>
    </row>
    <row r="156" spans="1:8" x14ac:dyDescent="0.3">
      <c r="A156">
        <v>0</v>
      </c>
      <c r="B156">
        <v>45444</v>
      </c>
      <c r="C156">
        <v>35</v>
      </c>
      <c r="D156">
        <v>12</v>
      </c>
      <c r="E156">
        <v>515.24</v>
      </c>
      <c r="F156">
        <v>5</v>
      </c>
      <c r="H156">
        <v>224.24</v>
      </c>
    </row>
    <row r="157" spans="1:8" x14ac:dyDescent="0.3">
      <c r="A157">
        <v>0</v>
      </c>
      <c r="B157">
        <v>45444</v>
      </c>
      <c r="C157">
        <v>35</v>
      </c>
      <c r="D157">
        <v>16</v>
      </c>
      <c r="E157">
        <v>351.71</v>
      </c>
      <c r="F157">
        <v>9</v>
      </c>
      <c r="H157">
        <v>3984.69</v>
      </c>
    </row>
    <row r="158" spans="1:8" x14ac:dyDescent="0.3">
      <c r="A158">
        <v>0</v>
      </c>
      <c r="B158">
        <v>45474</v>
      </c>
      <c r="C158">
        <v>71</v>
      </c>
      <c r="D158">
        <v>17</v>
      </c>
      <c r="E158">
        <v>360.1</v>
      </c>
      <c r="F158">
        <v>6</v>
      </c>
      <c r="H158">
        <v>4444.83</v>
      </c>
    </row>
    <row r="159" spans="1:8" x14ac:dyDescent="0.3">
      <c r="A159">
        <v>0</v>
      </c>
      <c r="B159">
        <v>45474</v>
      </c>
      <c r="C159">
        <v>62</v>
      </c>
      <c r="D159">
        <v>13</v>
      </c>
      <c r="E159">
        <v>364.64</v>
      </c>
      <c r="F159">
        <v>4</v>
      </c>
      <c r="H159">
        <v>3704.33</v>
      </c>
    </row>
    <row r="160" spans="1:8" x14ac:dyDescent="0.3">
      <c r="A160">
        <v>0</v>
      </c>
      <c r="B160">
        <v>45474</v>
      </c>
      <c r="C160">
        <v>53</v>
      </c>
      <c r="D160">
        <v>14</v>
      </c>
      <c r="E160">
        <v>367.56</v>
      </c>
      <c r="F160">
        <v>2</v>
      </c>
      <c r="H160">
        <v>3514.07</v>
      </c>
    </row>
    <row r="161" spans="1:8" x14ac:dyDescent="0.3">
      <c r="A161">
        <v>0</v>
      </c>
      <c r="B161">
        <v>45474</v>
      </c>
      <c r="C161">
        <v>18</v>
      </c>
      <c r="D161">
        <v>6</v>
      </c>
      <c r="E161">
        <v>76.27</v>
      </c>
      <c r="F161">
        <v>4</v>
      </c>
      <c r="H161">
        <v>1597.98</v>
      </c>
    </row>
    <row r="162" spans="1:8" x14ac:dyDescent="0.3">
      <c r="A162">
        <v>0</v>
      </c>
      <c r="B162">
        <v>45474</v>
      </c>
      <c r="C162">
        <v>71</v>
      </c>
      <c r="D162">
        <v>12</v>
      </c>
      <c r="E162">
        <v>487.04</v>
      </c>
      <c r="F162">
        <v>5</v>
      </c>
      <c r="H162">
        <v>1004.9</v>
      </c>
    </row>
    <row r="163" spans="1:8" x14ac:dyDescent="0.3">
      <c r="A163">
        <v>0</v>
      </c>
      <c r="B163">
        <v>45474</v>
      </c>
      <c r="C163">
        <v>70</v>
      </c>
      <c r="D163">
        <v>5</v>
      </c>
      <c r="E163">
        <v>491.31</v>
      </c>
      <c r="F163">
        <v>3</v>
      </c>
      <c r="H163">
        <v>3289.06</v>
      </c>
    </row>
    <row r="164" spans="1:8" x14ac:dyDescent="0.3">
      <c r="A164">
        <v>0</v>
      </c>
      <c r="B164">
        <v>45474</v>
      </c>
      <c r="C164">
        <v>77</v>
      </c>
      <c r="D164">
        <v>15</v>
      </c>
      <c r="E164">
        <v>282.58999999999997</v>
      </c>
      <c r="F164">
        <v>2</v>
      </c>
      <c r="H164">
        <v>2296.14</v>
      </c>
    </row>
    <row r="165" spans="1:8" x14ac:dyDescent="0.3">
      <c r="A165">
        <v>0</v>
      </c>
      <c r="B165">
        <v>45474</v>
      </c>
      <c r="C165">
        <v>50</v>
      </c>
      <c r="D165">
        <v>9</v>
      </c>
      <c r="E165">
        <v>246.06</v>
      </c>
      <c r="F165">
        <v>5</v>
      </c>
      <c r="H165">
        <v>4227.22</v>
      </c>
    </row>
    <row r="166" spans="1:8" x14ac:dyDescent="0.3">
      <c r="A166">
        <v>0</v>
      </c>
      <c r="B166">
        <v>45474</v>
      </c>
      <c r="C166">
        <v>31</v>
      </c>
      <c r="D166">
        <v>15</v>
      </c>
      <c r="E166">
        <v>347.38</v>
      </c>
      <c r="F166">
        <v>10</v>
      </c>
      <c r="H166">
        <v>1101.06</v>
      </c>
    </row>
    <row r="167" spans="1:8" x14ac:dyDescent="0.3">
      <c r="A167">
        <v>0</v>
      </c>
      <c r="B167">
        <v>45474</v>
      </c>
      <c r="C167">
        <v>77</v>
      </c>
      <c r="D167">
        <v>16</v>
      </c>
      <c r="E167">
        <v>335.59</v>
      </c>
      <c r="F167">
        <v>7</v>
      </c>
      <c r="H167">
        <v>1087.4100000000001</v>
      </c>
    </row>
    <row r="168" spans="1:8" x14ac:dyDescent="0.3">
      <c r="A168">
        <v>0</v>
      </c>
      <c r="B168">
        <v>45474</v>
      </c>
      <c r="C168">
        <v>17</v>
      </c>
      <c r="D168">
        <v>8</v>
      </c>
      <c r="E168">
        <v>208.21</v>
      </c>
      <c r="F168">
        <v>4</v>
      </c>
      <c r="H168">
        <v>828.73</v>
      </c>
    </row>
    <row r="169" spans="1:8" x14ac:dyDescent="0.3">
      <c r="A169">
        <v>0</v>
      </c>
      <c r="B169">
        <v>45474</v>
      </c>
      <c r="C169">
        <v>32</v>
      </c>
      <c r="D169">
        <v>6</v>
      </c>
      <c r="E169">
        <v>553.58000000000004</v>
      </c>
      <c r="F169">
        <v>3</v>
      </c>
      <c r="H169">
        <v>3939.56</v>
      </c>
    </row>
    <row r="170" spans="1:8" x14ac:dyDescent="0.3">
      <c r="A170">
        <v>0</v>
      </c>
      <c r="B170">
        <v>45474</v>
      </c>
      <c r="C170">
        <v>72</v>
      </c>
      <c r="D170">
        <v>21</v>
      </c>
      <c r="E170">
        <v>604.57000000000005</v>
      </c>
      <c r="F170">
        <v>2</v>
      </c>
      <c r="H170">
        <v>327.82</v>
      </c>
    </row>
    <row r="171" spans="1:8" x14ac:dyDescent="0.3">
      <c r="A171">
        <v>0</v>
      </c>
      <c r="B171">
        <v>45474</v>
      </c>
      <c r="C171">
        <v>34</v>
      </c>
      <c r="D171">
        <v>7</v>
      </c>
      <c r="E171">
        <v>199.39</v>
      </c>
      <c r="F171">
        <v>1</v>
      </c>
      <c r="H171">
        <v>3767.74</v>
      </c>
    </row>
    <row r="172" spans="1:8" x14ac:dyDescent="0.3">
      <c r="A172">
        <v>0</v>
      </c>
      <c r="B172">
        <v>45474</v>
      </c>
      <c r="C172">
        <v>71</v>
      </c>
      <c r="D172">
        <v>9</v>
      </c>
      <c r="E172">
        <v>220.4</v>
      </c>
      <c r="F172">
        <v>2</v>
      </c>
      <c r="H172">
        <v>692.29</v>
      </c>
    </row>
    <row r="173" spans="1:8" x14ac:dyDescent="0.3">
      <c r="A173">
        <v>0</v>
      </c>
      <c r="B173">
        <v>45474</v>
      </c>
      <c r="C173">
        <v>83</v>
      </c>
      <c r="D173">
        <v>5</v>
      </c>
      <c r="E173">
        <v>166.85</v>
      </c>
      <c r="F173">
        <v>4</v>
      </c>
      <c r="H173">
        <v>1364.24</v>
      </c>
    </row>
    <row r="174" spans="1:8" x14ac:dyDescent="0.3">
      <c r="A174">
        <v>0</v>
      </c>
      <c r="B174">
        <v>45474</v>
      </c>
      <c r="C174">
        <v>71</v>
      </c>
      <c r="D174">
        <v>7</v>
      </c>
      <c r="E174">
        <v>78.53</v>
      </c>
      <c r="F174">
        <v>4</v>
      </c>
      <c r="H174">
        <v>3652.64</v>
      </c>
    </row>
    <row r="175" spans="1:8" x14ac:dyDescent="0.3">
      <c r="A175">
        <v>0</v>
      </c>
      <c r="B175">
        <v>45474</v>
      </c>
      <c r="C175">
        <v>24</v>
      </c>
      <c r="D175">
        <v>13</v>
      </c>
      <c r="E175">
        <v>471.72</v>
      </c>
      <c r="F175">
        <v>7</v>
      </c>
      <c r="H175">
        <v>3588.89</v>
      </c>
    </row>
    <row r="176" spans="1:8" x14ac:dyDescent="0.3">
      <c r="A176">
        <v>0</v>
      </c>
      <c r="B176">
        <v>45474</v>
      </c>
      <c r="C176">
        <v>75</v>
      </c>
      <c r="D176">
        <v>17</v>
      </c>
      <c r="E176">
        <v>176.07</v>
      </c>
      <c r="F176">
        <v>5</v>
      </c>
      <c r="H176">
        <v>458.18</v>
      </c>
    </row>
    <row r="177" spans="1:8" x14ac:dyDescent="0.3">
      <c r="A177">
        <v>0</v>
      </c>
      <c r="B177">
        <v>45474</v>
      </c>
      <c r="C177">
        <v>76</v>
      </c>
      <c r="D177">
        <v>11</v>
      </c>
      <c r="E177">
        <v>486.93</v>
      </c>
      <c r="F177">
        <v>0</v>
      </c>
      <c r="H177">
        <v>1219.29</v>
      </c>
    </row>
    <row r="178" spans="1:8" x14ac:dyDescent="0.3">
      <c r="A178">
        <v>0</v>
      </c>
      <c r="B178">
        <v>45474</v>
      </c>
      <c r="C178">
        <v>20</v>
      </c>
      <c r="D178">
        <v>14</v>
      </c>
      <c r="E178">
        <v>283.66000000000003</v>
      </c>
      <c r="F178">
        <v>2</v>
      </c>
      <c r="H178">
        <v>1494.14</v>
      </c>
    </row>
    <row r="179" spans="1:8" x14ac:dyDescent="0.3">
      <c r="A179">
        <v>0</v>
      </c>
      <c r="B179">
        <v>45474</v>
      </c>
      <c r="C179">
        <v>79</v>
      </c>
      <c r="D179">
        <v>6</v>
      </c>
      <c r="E179">
        <v>536.04999999999995</v>
      </c>
      <c r="F179">
        <v>1</v>
      </c>
      <c r="H179">
        <v>3682.29</v>
      </c>
    </row>
    <row r="180" spans="1:8" x14ac:dyDescent="0.3">
      <c r="A180">
        <v>0</v>
      </c>
      <c r="B180">
        <v>45474</v>
      </c>
      <c r="C180">
        <v>82</v>
      </c>
      <c r="D180">
        <v>9</v>
      </c>
      <c r="E180">
        <v>171.86</v>
      </c>
      <c r="F180">
        <v>7</v>
      </c>
      <c r="H180">
        <v>506.88</v>
      </c>
    </row>
    <row r="181" spans="1:8" x14ac:dyDescent="0.3">
      <c r="A181">
        <v>0</v>
      </c>
      <c r="B181">
        <v>45474</v>
      </c>
      <c r="C181">
        <v>103</v>
      </c>
      <c r="D181">
        <v>15</v>
      </c>
      <c r="E181">
        <v>359.16</v>
      </c>
      <c r="F181">
        <v>1</v>
      </c>
      <c r="H181">
        <v>2949.94</v>
      </c>
    </row>
    <row r="182" spans="1:8" x14ac:dyDescent="0.3">
      <c r="A182">
        <v>0</v>
      </c>
      <c r="B182">
        <v>45474</v>
      </c>
      <c r="C182">
        <v>41</v>
      </c>
      <c r="D182">
        <v>9</v>
      </c>
      <c r="E182">
        <v>569.97</v>
      </c>
      <c r="F182">
        <v>5</v>
      </c>
      <c r="H182">
        <v>259.86</v>
      </c>
    </row>
    <row r="183" spans="1:8" x14ac:dyDescent="0.3">
      <c r="A183">
        <v>0</v>
      </c>
      <c r="B183">
        <v>45474</v>
      </c>
      <c r="C183">
        <v>38</v>
      </c>
      <c r="D183">
        <v>14</v>
      </c>
      <c r="E183">
        <v>359.22</v>
      </c>
      <c r="F183">
        <v>8</v>
      </c>
      <c r="H183">
        <v>3846.34</v>
      </c>
    </row>
    <row r="184" spans="1:8" x14ac:dyDescent="0.3">
      <c r="A184">
        <v>0</v>
      </c>
      <c r="B184">
        <v>45505</v>
      </c>
      <c r="C184">
        <v>71</v>
      </c>
      <c r="D184">
        <v>15</v>
      </c>
      <c r="E184">
        <v>297.05</v>
      </c>
      <c r="F184">
        <v>6</v>
      </c>
      <c r="H184">
        <v>4043.62</v>
      </c>
    </row>
    <row r="185" spans="1:8" x14ac:dyDescent="0.3">
      <c r="A185">
        <v>0</v>
      </c>
      <c r="B185">
        <v>45505</v>
      </c>
      <c r="C185">
        <v>66</v>
      </c>
      <c r="D185">
        <v>13</v>
      </c>
      <c r="E185">
        <v>376.76</v>
      </c>
      <c r="F185">
        <v>5</v>
      </c>
      <c r="H185">
        <v>3819.73</v>
      </c>
    </row>
    <row r="186" spans="1:8" x14ac:dyDescent="0.3">
      <c r="A186">
        <v>0</v>
      </c>
      <c r="B186">
        <v>45505</v>
      </c>
      <c r="C186">
        <v>53</v>
      </c>
      <c r="D186">
        <v>15</v>
      </c>
      <c r="E186">
        <v>379.29</v>
      </c>
      <c r="F186">
        <v>2</v>
      </c>
      <c r="H186">
        <v>3409.69</v>
      </c>
    </row>
    <row r="187" spans="1:8" x14ac:dyDescent="0.3">
      <c r="A187">
        <v>0</v>
      </c>
      <c r="B187">
        <v>45505</v>
      </c>
      <c r="C187">
        <v>18</v>
      </c>
      <c r="D187">
        <v>8</v>
      </c>
      <c r="E187">
        <v>82.91</v>
      </c>
      <c r="F187">
        <v>3</v>
      </c>
      <c r="H187">
        <v>1387.86</v>
      </c>
    </row>
    <row r="188" spans="1:8" x14ac:dyDescent="0.3">
      <c r="A188">
        <v>0</v>
      </c>
      <c r="B188">
        <v>45505</v>
      </c>
      <c r="C188">
        <v>72</v>
      </c>
      <c r="D188">
        <v>14</v>
      </c>
      <c r="E188">
        <v>437.47</v>
      </c>
      <c r="F188">
        <v>4</v>
      </c>
      <c r="H188">
        <v>958.02</v>
      </c>
    </row>
    <row r="189" spans="1:8" x14ac:dyDescent="0.3">
      <c r="A189">
        <v>0</v>
      </c>
      <c r="B189">
        <v>45505</v>
      </c>
      <c r="C189">
        <v>64</v>
      </c>
      <c r="D189">
        <v>7</v>
      </c>
      <c r="E189">
        <v>554.20000000000005</v>
      </c>
      <c r="F189">
        <v>2</v>
      </c>
      <c r="H189">
        <v>3620.9</v>
      </c>
    </row>
    <row r="190" spans="1:8" x14ac:dyDescent="0.3">
      <c r="A190">
        <v>0</v>
      </c>
      <c r="B190">
        <v>45505</v>
      </c>
      <c r="C190">
        <v>76</v>
      </c>
      <c r="D190">
        <v>21</v>
      </c>
      <c r="E190">
        <v>293.93</v>
      </c>
      <c r="F190">
        <v>2</v>
      </c>
      <c r="H190">
        <v>2531.4</v>
      </c>
    </row>
    <row r="191" spans="1:8" x14ac:dyDescent="0.3">
      <c r="A191">
        <v>0</v>
      </c>
      <c r="B191">
        <v>45505</v>
      </c>
      <c r="C191">
        <v>64</v>
      </c>
      <c r="D191">
        <v>9</v>
      </c>
      <c r="E191">
        <v>255.17</v>
      </c>
      <c r="F191">
        <v>6</v>
      </c>
      <c r="H191">
        <v>4136.6899999999996</v>
      </c>
    </row>
    <row r="192" spans="1:8" x14ac:dyDescent="0.3">
      <c r="A192">
        <v>0</v>
      </c>
      <c r="B192">
        <v>45505</v>
      </c>
      <c r="C192">
        <v>26</v>
      </c>
      <c r="D192">
        <v>17</v>
      </c>
      <c r="E192">
        <v>391.73</v>
      </c>
      <c r="F192">
        <v>7</v>
      </c>
      <c r="H192">
        <v>1166.55</v>
      </c>
    </row>
    <row r="193" spans="1:8" x14ac:dyDescent="0.3">
      <c r="A193">
        <v>0</v>
      </c>
      <c r="B193">
        <v>45505</v>
      </c>
      <c r="C193">
        <v>65</v>
      </c>
      <c r="D193">
        <v>13</v>
      </c>
      <c r="E193">
        <v>324.26</v>
      </c>
      <c r="F193">
        <v>7</v>
      </c>
      <c r="H193">
        <v>1044.8599999999999</v>
      </c>
    </row>
    <row r="194" spans="1:8" x14ac:dyDescent="0.3">
      <c r="A194">
        <v>0</v>
      </c>
      <c r="B194">
        <v>45505</v>
      </c>
      <c r="C194">
        <v>22</v>
      </c>
      <c r="D194">
        <v>9</v>
      </c>
      <c r="E194">
        <v>211.28</v>
      </c>
      <c r="F194">
        <v>8</v>
      </c>
      <c r="H194">
        <v>772.77</v>
      </c>
    </row>
    <row r="195" spans="1:8" x14ac:dyDescent="0.3">
      <c r="A195">
        <v>0</v>
      </c>
      <c r="B195">
        <v>45505</v>
      </c>
      <c r="C195">
        <v>30</v>
      </c>
      <c r="D195">
        <v>6</v>
      </c>
      <c r="E195">
        <v>549.26</v>
      </c>
      <c r="F195">
        <v>2</v>
      </c>
      <c r="H195">
        <v>3868.36</v>
      </c>
    </row>
    <row r="196" spans="1:8" x14ac:dyDescent="0.3">
      <c r="A196">
        <v>0</v>
      </c>
      <c r="B196">
        <v>45505</v>
      </c>
      <c r="C196">
        <v>83</v>
      </c>
      <c r="D196">
        <v>15</v>
      </c>
      <c r="E196">
        <v>601.05999999999995</v>
      </c>
      <c r="F196">
        <v>3</v>
      </c>
      <c r="H196">
        <v>350.62</v>
      </c>
    </row>
    <row r="197" spans="1:8" x14ac:dyDescent="0.3">
      <c r="A197">
        <v>0</v>
      </c>
      <c r="B197">
        <v>45505</v>
      </c>
      <c r="C197">
        <v>35</v>
      </c>
      <c r="D197">
        <v>6</v>
      </c>
      <c r="E197">
        <v>192.19</v>
      </c>
      <c r="F197">
        <v>1</v>
      </c>
      <c r="H197">
        <v>3963.32</v>
      </c>
    </row>
    <row r="198" spans="1:8" x14ac:dyDescent="0.3">
      <c r="A198">
        <v>0</v>
      </c>
      <c r="B198">
        <v>45505</v>
      </c>
      <c r="C198">
        <v>73</v>
      </c>
      <c r="D198">
        <v>8</v>
      </c>
      <c r="E198">
        <v>191.76</v>
      </c>
      <c r="F198">
        <v>3</v>
      </c>
      <c r="H198">
        <v>675.97</v>
      </c>
    </row>
    <row r="199" spans="1:8" x14ac:dyDescent="0.3">
      <c r="A199">
        <v>0</v>
      </c>
      <c r="B199">
        <v>45505</v>
      </c>
      <c r="C199">
        <v>104</v>
      </c>
      <c r="D199">
        <v>4</v>
      </c>
      <c r="E199">
        <v>169.75</v>
      </c>
      <c r="F199">
        <v>3</v>
      </c>
      <c r="H199">
        <v>1255.83</v>
      </c>
    </row>
    <row r="200" spans="1:8" x14ac:dyDescent="0.3">
      <c r="A200">
        <v>0</v>
      </c>
      <c r="B200">
        <v>45505</v>
      </c>
      <c r="C200">
        <v>71</v>
      </c>
      <c r="D200">
        <v>6</v>
      </c>
      <c r="E200">
        <v>87.5</v>
      </c>
      <c r="F200">
        <v>3</v>
      </c>
      <c r="H200">
        <v>3666.64</v>
      </c>
    </row>
    <row r="201" spans="1:8" x14ac:dyDescent="0.3">
      <c r="A201">
        <v>0</v>
      </c>
      <c r="B201">
        <v>45505</v>
      </c>
      <c r="C201">
        <v>22</v>
      </c>
      <c r="D201">
        <v>14</v>
      </c>
      <c r="E201">
        <v>477.3</v>
      </c>
      <c r="F201">
        <v>6</v>
      </c>
      <c r="H201">
        <v>3790.05</v>
      </c>
    </row>
    <row r="202" spans="1:8" x14ac:dyDescent="0.3">
      <c r="A202">
        <v>0</v>
      </c>
      <c r="B202">
        <v>45505</v>
      </c>
      <c r="C202">
        <v>85</v>
      </c>
      <c r="D202">
        <v>17</v>
      </c>
      <c r="E202">
        <v>187.72</v>
      </c>
      <c r="F202">
        <v>5</v>
      </c>
      <c r="H202">
        <v>443.22</v>
      </c>
    </row>
    <row r="203" spans="1:8" x14ac:dyDescent="0.3">
      <c r="A203">
        <v>0</v>
      </c>
      <c r="B203">
        <v>45505</v>
      </c>
      <c r="C203">
        <v>80</v>
      </c>
      <c r="D203">
        <v>13</v>
      </c>
      <c r="E203">
        <v>504.59</v>
      </c>
      <c r="F203">
        <v>0</v>
      </c>
      <c r="H203">
        <v>1265.47</v>
      </c>
    </row>
    <row r="204" spans="1:8" x14ac:dyDescent="0.3">
      <c r="A204">
        <v>0</v>
      </c>
      <c r="B204">
        <v>45505</v>
      </c>
      <c r="C204">
        <v>18</v>
      </c>
      <c r="D204">
        <v>12</v>
      </c>
      <c r="E204">
        <v>262.26</v>
      </c>
      <c r="F204">
        <v>1</v>
      </c>
      <c r="H204">
        <v>1573.7</v>
      </c>
    </row>
    <row r="205" spans="1:8" x14ac:dyDescent="0.3">
      <c r="A205">
        <v>0</v>
      </c>
      <c r="B205">
        <v>45505</v>
      </c>
      <c r="C205">
        <v>106</v>
      </c>
      <c r="D205">
        <v>6</v>
      </c>
      <c r="E205">
        <v>572.16</v>
      </c>
      <c r="F205">
        <v>2</v>
      </c>
      <c r="H205">
        <v>3398.37</v>
      </c>
    </row>
    <row r="206" spans="1:8" x14ac:dyDescent="0.3">
      <c r="A206">
        <v>0</v>
      </c>
      <c r="B206">
        <v>45505</v>
      </c>
      <c r="C206">
        <v>71</v>
      </c>
      <c r="D206">
        <v>9</v>
      </c>
      <c r="E206">
        <v>172.96</v>
      </c>
      <c r="F206">
        <v>6</v>
      </c>
      <c r="H206">
        <v>464.49</v>
      </c>
    </row>
    <row r="207" spans="1:8" x14ac:dyDescent="0.3">
      <c r="A207">
        <v>0</v>
      </c>
      <c r="B207">
        <v>45505</v>
      </c>
      <c r="C207">
        <v>115</v>
      </c>
      <c r="D207">
        <v>17</v>
      </c>
      <c r="E207">
        <v>422.48</v>
      </c>
      <c r="F207">
        <v>0</v>
      </c>
      <c r="H207">
        <v>2681.51</v>
      </c>
    </row>
    <row r="208" spans="1:8" x14ac:dyDescent="0.3">
      <c r="A208">
        <v>0</v>
      </c>
      <c r="B208">
        <v>45505</v>
      </c>
      <c r="C208">
        <v>34</v>
      </c>
      <c r="D208">
        <v>10</v>
      </c>
      <c r="E208">
        <v>565.11</v>
      </c>
      <c r="F208">
        <v>5</v>
      </c>
      <c r="H208">
        <v>222.62</v>
      </c>
    </row>
    <row r="209" spans="1:8" x14ac:dyDescent="0.3">
      <c r="A209">
        <v>0</v>
      </c>
      <c r="B209">
        <v>45505</v>
      </c>
      <c r="C209">
        <v>40</v>
      </c>
      <c r="D209">
        <v>17</v>
      </c>
      <c r="E209">
        <v>355.83</v>
      </c>
      <c r="F209">
        <v>6</v>
      </c>
      <c r="H209">
        <v>4155.8599999999997</v>
      </c>
    </row>
    <row r="210" spans="1:8" x14ac:dyDescent="0.3">
      <c r="A210">
        <v>0</v>
      </c>
      <c r="B210">
        <v>45536</v>
      </c>
      <c r="C210">
        <v>51</v>
      </c>
      <c r="D210">
        <v>15</v>
      </c>
      <c r="E210">
        <v>349.71</v>
      </c>
      <c r="F210">
        <v>8</v>
      </c>
      <c r="H210">
        <v>4017.54</v>
      </c>
    </row>
    <row r="211" spans="1:8" x14ac:dyDescent="0.3">
      <c r="A211">
        <v>0</v>
      </c>
      <c r="B211">
        <v>45536</v>
      </c>
      <c r="C211">
        <v>79</v>
      </c>
      <c r="D211">
        <v>9</v>
      </c>
      <c r="E211">
        <v>358.67</v>
      </c>
      <c r="F211">
        <v>5</v>
      </c>
      <c r="H211">
        <v>3658.64</v>
      </c>
    </row>
    <row r="212" spans="1:8" x14ac:dyDescent="0.3">
      <c r="A212">
        <v>0</v>
      </c>
      <c r="B212">
        <v>45536</v>
      </c>
      <c r="C212">
        <v>57</v>
      </c>
      <c r="D212">
        <v>18</v>
      </c>
      <c r="E212">
        <v>403.41</v>
      </c>
      <c r="F212">
        <v>3</v>
      </c>
      <c r="H212">
        <v>3767.63</v>
      </c>
    </row>
    <row r="213" spans="1:8" x14ac:dyDescent="0.3">
      <c r="A213">
        <v>0</v>
      </c>
      <c r="B213">
        <v>45536</v>
      </c>
      <c r="C213">
        <v>24</v>
      </c>
      <c r="D213">
        <v>7</v>
      </c>
      <c r="E213">
        <v>79.62</v>
      </c>
      <c r="F213">
        <v>4</v>
      </c>
      <c r="H213">
        <v>1650.69</v>
      </c>
    </row>
    <row r="214" spans="1:8" x14ac:dyDescent="0.3">
      <c r="A214">
        <v>0</v>
      </c>
      <c r="B214">
        <v>45536</v>
      </c>
      <c r="C214">
        <v>77</v>
      </c>
      <c r="D214">
        <v>11</v>
      </c>
      <c r="E214">
        <v>487.47</v>
      </c>
      <c r="F214">
        <v>4</v>
      </c>
      <c r="H214">
        <v>990.89</v>
      </c>
    </row>
    <row r="215" spans="1:8" x14ac:dyDescent="0.3">
      <c r="A215">
        <v>0</v>
      </c>
      <c r="B215">
        <v>45536</v>
      </c>
      <c r="C215">
        <v>69</v>
      </c>
      <c r="D215">
        <v>7</v>
      </c>
      <c r="E215">
        <v>549.77</v>
      </c>
      <c r="F215">
        <v>2</v>
      </c>
      <c r="H215">
        <v>3916.58</v>
      </c>
    </row>
    <row r="216" spans="1:8" x14ac:dyDescent="0.3">
      <c r="A216">
        <v>0</v>
      </c>
      <c r="B216">
        <v>45536</v>
      </c>
      <c r="C216">
        <v>74</v>
      </c>
      <c r="D216">
        <v>18</v>
      </c>
      <c r="E216">
        <v>306.89999999999998</v>
      </c>
      <c r="F216">
        <v>3</v>
      </c>
      <c r="H216">
        <v>2254.16</v>
      </c>
    </row>
    <row r="217" spans="1:8" x14ac:dyDescent="0.3">
      <c r="A217">
        <v>0</v>
      </c>
      <c r="B217">
        <v>45536</v>
      </c>
      <c r="C217">
        <v>57</v>
      </c>
      <c r="D217">
        <v>7</v>
      </c>
      <c r="E217">
        <v>262.27999999999997</v>
      </c>
      <c r="F217">
        <v>7</v>
      </c>
      <c r="H217">
        <v>3929.11</v>
      </c>
    </row>
    <row r="218" spans="1:8" x14ac:dyDescent="0.3">
      <c r="A218">
        <v>0</v>
      </c>
      <c r="B218">
        <v>45536</v>
      </c>
      <c r="C218">
        <v>26</v>
      </c>
      <c r="D218">
        <v>21</v>
      </c>
      <c r="E218">
        <v>359.51</v>
      </c>
      <c r="F218">
        <v>9</v>
      </c>
      <c r="H218">
        <v>1187.3699999999999</v>
      </c>
    </row>
    <row r="219" spans="1:8" x14ac:dyDescent="0.3">
      <c r="A219">
        <v>0</v>
      </c>
      <c r="B219">
        <v>45536</v>
      </c>
      <c r="C219">
        <v>76</v>
      </c>
      <c r="D219">
        <v>18</v>
      </c>
      <c r="E219">
        <v>339.1</v>
      </c>
      <c r="F219">
        <v>8</v>
      </c>
      <c r="H219">
        <v>924.79</v>
      </c>
    </row>
    <row r="220" spans="1:8" x14ac:dyDescent="0.3">
      <c r="A220">
        <v>0</v>
      </c>
      <c r="B220">
        <v>45536</v>
      </c>
      <c r="C220">
        <v>22</v>
      </c>
      <c r="D220">
        <v>7</v>
      </c>
      <c r="E220">
        <v>182.47</v>
      </c>
      <c r="F220">
        <v>7</v>
      </c>
      <c r="H220">
        <v>779.86</v>
      </c>
    </row>
    <row r="221" spans="1:8" x14ac:dyDescent="0.3">
      <c r="A221">
        <v>0</v>
      </c>
      <c r="B221">
        <v>45536</v>
      </c>
      <c r="C221">
        <v>38</v>
      </c>
      <c r="D221">
        <v>6</v>
      </c>
      <c r="E221">
        <v>553.89</v>
      </c>
      <c r="F221">
        <v>6</v>
      </c>
      <c r="H221">
        <v>4013.79</v>
      </c>
    </row>
    <row r="222" spans="1:8" x14ac:dyDescent="0.3">
      <c r="A222">
        <v>0</v>
      </c>
      <c r="B222">
        <v>45536</v>
      </c>
      <c r="C222">
        <v>87</v>
      </c>
      <c r="D222">
        <v>21</v>
      </c>
      <c r="E222">
        <v>633.13</v>
      </c>
      <c r="F222">
        <v>2</v>
      </c>
      <c r="H222">
        <v>336.22</v>
      </c>
    </row>
    <row r="223" spans="1:8" x14ac:dyDescent="0.3">
      <c r="A223">
        <v>0</v>
      </c>
      <c r="B223">
        <v>45536</v>
      </c>
      <c r="C223">
        <v>37</v>
      </c>
      <c r="D223">
        <v>8</v>
      </c>
      <c r="E223">
        <v>215.09</v>
      </c>
      <c r="F223">
        <v>2</v>
      </c>
      <c r="H223">
        <v>3424.83</v>
      </c>
    </row>
    <row r="224" spans="1:8" x14ac:dyDescent="0.3">
      <c r="A224">
        <v>0</v>
      </c>
      <c r="B224">
        <v>45536</v>
      </c>
      <c r="C224">
        <v>71</v>
      </c>
      <c r="D224">
        <v>8</v>
      </c>
      <c r="E224">
        <v>199.19</v>
      </c>
      <c r="F224">
        <v>2</v>
      </c>
      <c r="H224">
        <v>635.24</v>
      </c>
    </row>
    <row r="225" spans="1:8" x14ac:dyDescent="0.3">
      <c r="A225">
        <v>0</v>
      </c>
      <c r="B225">
        <v>45536</v>
      </c>
      <c r="C225">
        <v>81</v>
      </c>
      <c r="D225">
        <v>5</v>
      </c>
      <c r="E225">
        <v>153.5</v>
      </c>
      <c r="F225">
        <v>2</v>
      </c>
      <c r="H225">
        <v>1307.47</v>
      </c>
    </row>
    <row r="226" spans="1:8" x14ac:dyDescent="0.3">
      <c r="A226">
        <v>0</v>
      </c>
      <c r="B226">
        <v>45536</v>
      </c>
      <c r="C226">
        <v>93</v>
      </c>
      <c r="D226">
        <v>5</v>
      </c>
      <c r="E226">
        <v>77.12</v>
      </c>
      <c r="F226">
        <v>2</v>
      </c>
      <c r="H226">
        <v>3483.91</v>
      </c>
    </row>
    <row r="227" spans="1:8" x14ac:dyDescent="0.3">
      <c r="A227">
        <v>0</v>
      </c>
      <c r="B227">
        <v>45536</v>
      </c>
      <c r="C227">
        <v>21</v>
      </c>
      <c r="D227">
        <v>17</v>
      </c>
      <c r="E227">
        <v>533.41999999999996</v>
      </c>
      <c r="F227">
        <v>7</v>
      </c>
      <c r="H227">
        <v>3895.32</v>
      </c>
    </row>
    <row r="228" spans="1:8" x14ac:dyDescent="0.3">
      <c r="A228">
        <v>0</v>
      </c>
      <c r="B228">
        <v>45536</v>
      </c>
      <c r="C228">
        <v>86</v>
      </c>
      <c r="D228">
        <v>17</v>
      </c>
      <c r="E228">
        <v>160.88999999999999</v>
      </c>
      <c r="F228">
        <v>4</v>
      </c>
      <c r="H228">
        <v>418.33</v>
      </c>
    </row>
    <row r="229" spans="1:8" x14ac:dyDescent="0.3">
      <c r="A229">
        <v>0</v>
      </c>
      <c r="B229">
        <v>45536</v>
      </c>
      <c r="C229">
        <v>72</v>
      </c>
      <c r="D229">
        <v>11</v>
      </c>
      <c r="E229">
        <v>459.86</v>
      </c>
      <c r="F229">
        <v>0</v>
      </c>
      <c r="H229">
        <v>1269.5999999999999</v>
      </c>
    </row>
    <row r="230" spans="1:8" x14ac:dyDescent="0.3">
      <c r="A230">
        <v>0</v>
      </c>
      <c r="B230">
        <v>45536</v>
      </c>
      <c r="C230">
        <v>18</v>
      </c>
      <c r="D230">
        <v>13</v>
      </c>
      <c r="E230">
        <v>290.14</v>
      </c>
      <c r="F230">
        <v>2</v>
      </c>
      <c r="H230">
        <v>1444.65</v>
      </c>
    </row>
    <row r="231" spans="1:8" x14ac:dyDescent="0.3">
      <c r="A231">
        <v>0</v>
      </c>
      <c r="B231">
        <v>45536</v>
      </c>
      <c r="C231">
        <v>105</v>
      </c>
      <c r="D231">
        <v>7</v>
      </c>
      <c r="E231">
        <v>587.83000000000004</v>
      </c>
      <c r="F231">
        <v>1</v>
      </c>
      <c r="H231">
        <v>3601.93</v>
      </c>
    </row>
    <row r="232" spans="1:8" x14ac:dyDescent="0.3">
      <c r="A232">
        <v>0</v>
      </c>
      <c r="B232">
        <v>45536</v>
      </c>
      <c r="C232">
        <v>75</v>
      </c>
      <c r="D232">
        <v>8</v>
      </c>
      <c r="E232">
        <v>177.88</v>
      </c>
      <c r="F232">
        <v>7</v>
      </c>
      <c r="H232">
        <v>507.1</v>
      </c>
    </row>
    <row r="233" spans="1:8" x14ac:dyDescent="0.3">
      <c r="A233">
        <v>0</v>
      </c>
      <c r="B233">
        <v>45536</v>
      </c>
      <c r="C233">
        <v>98</v>
      </c>
      <c r="D233">
        <v>12</v>
      </c>
      <c r="E233">
        <v>406.95</v>
      </c>
      <c r="F233">
        <v>0</v>
      </c>
      <c r="H233">
        <v>2978.09</v>
      </c>
    </row>
    <row r="234" spans="1:8" x14ac:dyDescent="0.3">
      <c r="A234">
        <v>0</v>
      </c>
      <c r="B234">
        <v>45536</v>
      </c>
      <c r="C234">
        <v>33</v>
      </c>
      <c r="D234">
        <v>13</v>
      </c>
      <c r="E234">
        <v>517.1</v>
      </c>
      <c r="F234">
        <v>4</v>
      </c>
      <c r="H234">
        <v>250.08</v>
      </c>
    </row>
    <row r="235" spans="1:8" x14ac:dyDescent="0.3">
      <c r="A235">
        <v>0</v>
      </c>
      <c r="B235">
        <v>45536</v>
      </c>
      <c r="C235">
        <v>35</v>
      </c>
      <c r="D235">
        <v>18</v>
      </c>
      <c r="E235">
        <v>348.92</v>
      </c>
      <c r="F235">
        <v>7</v>
      </c>
      <c r="H235">
        <v>4381.3900000000003</v>
      </c>
    </row>
    <row r="236" spans="1:8" x14ac:dyDescent="0.3">
      <c r="A236">
        <v>0</v>
      </c>
      <c r="B236">
        <v>45566</v>
      </c>
      <c r="C236">
        <v>74</v>
      </c>
      <c r="D236">
        <v>16</v>
      </c>
      <c r="E236">
        <v>308.51</v>
      </c>
      <c r="F236">
        <v>7</v>
      </c>
      <c r="H236">
        <v>4267.5</v>
      </c>
    </row>
    <row r="237" spans="1:8" x14ac:dyDescent="0.3">
      <c r="A237">
        <v>0</v>
      </c>
      <c r="B237">
        <v>45566</v>
      </c>
      <c r="C237">
        <v>72</v>
      </c>
      <c r="D237">
        <v>10</v>
      </c>
      <c r="E237">
        <v>362.58</v>
      </c>
      <c r="F237">
        <v>5</v>
      </c>
      <c r="H237">
        <v>3679.65</v>
      </c>
    </row>
    <row r="238" spans="1:8" x14ac:dyDescent="0.3">
      <c r="A238">
        <v>0</v>
      </c>
      <c r="B238">
        <v>45566</v>
      </c>
      <c r="C238">
        <v>58</v>
      </c>
      <c r="D238">
        <v>13</v>
      </c>
      <c r="E238">
        <v>368.06</v>
      </c>
      <c r="F238">
        <v>2</v>
      </c>
      <c r="H238">
        <v>3626.22</v>
      </c>
    </row>
    <row r="239" spans="1:8" x14ac:dyDescent="0.3">
      <c r="A239">
        <v>0</v>
      </c>
      <c r="B239">
        <v>45566</v>
      </c>
      <c r="C239">
        <v>22</v>
      </c>
      <c r="D239">
        <v>7</v>
      </c>
      <c r="E239">
        <v>74.680000000000007</v>
      </c>
      <c r="F239">
        <v>4</v>
      </c>
      <c r="H239">
        <v>1543.72</v>
      </c>
    </row>
    <row r="240" spans="1:8" x14ac:dyDescent="0.3">
      <c r="A240">
        <v>0</v>
      </c>
      <c r="B240">
        <v>45566</v>
      </c>
      <c r="C240">
        <v>74</v>
      </c>
      <c r="D240">
        <v>15</v>
      </c>
      <c r="E240">
        <v>460.2</v>
      </c>
      <c r="F240">
        <v>4</v>
      </c>
      <c r="H240">
        <v>980.1</v>
      </c>
    </row>
    <row r="241" spans="1:8" x14ac:dyDescent="0.3">
      <c r="A241">
        <v>0</v>
      </c>
      <c r="B241">
        <v>45566</v>
      </c>
      <c r="C241">
        <v>62</v>
      </c>
      <c r="D241">
        <v>8</v>
      </c>
      <c r="E241">
        <v>540.79999999999995</v>
      </c>
      <c r="F241">
        <v>3</v>
      </c>
      <c r="H241">
        <v>3928.71</v>
      </c>
    </row>
    <row r="242" spans="1:8" x14ac:dyDescent="0.3">
      <c r="A242">
        <v>0</v>
      </c>
      <c r="B242">
        <v>45566</v>
      </c>
      <c r="C242">
        <v>70</v>
      </c>
      <c r="D242">
        <v>21</v>
      </c>
      <c r="E242">
        <v>319.62</v>
      </c>
      <c r="F242">
        <v>3</v>
      </c>
      <c r="H242">
        <v>2486.2199999999998</v>
      </c>
    </row>
    <row r="243" spans="1:8" x14ac:dyDescent="0.3">
      <c r="A243">
        <v>0</v>
      </c>
      <c r="B243">
        <v>45566</v>
      </c>
      <c r="C243">
        <v>51</v>
      </c>
      <c r="D243">
        <v>7</v>
      </c>
      <c r="E243">
        <v>248.37</v>
      </c>
      <c r="F243">
        <v>7</v>
      </c>
      <c r="H243">
        <v>3946.23</v>
      </c>
    </row>
    <row r="244" spans="1:8" x14ac:dyDescent="0.3">
      <c r="A244">
        <v>0</v>
      </c>
      <c r="B244">
        <v>45566</v>
      </c>
      <c r="C244">
        <v>32</v>
      </c>
      <c r="D244">
        <v>16</v>
      </c>
      <c r="E244">
        <v>393.04</v>
      </c>
      <c r="F244">
        <v>7</v>
      </c>
      <c r="H244">
        <v>1286.18</v>
      </c>
    </row>
    <row r="245" spans="1:8" x14ac:dyDescent="0.3">
      <c r="A245">
        <v>0</v>
      </c>
      <c r="B245">
        <v>45566</v>
      </c>
      <c r="C245">
        <v>71</v>
      </c>
      <c r="D245">
        <v>16</v>
      </c>
      <c r="E245">
        <v>323.56</v>
      </c>
      <c r="F245">
        <v>9</v>
      </c>
      <c r="H245">
        <v>957.05</v>
      </c>
    </row>
    <row r="246" spans="1:8" x14ac:dyDescent="0.3">
      <c r="A246">
        <v>0</v>
      </c>
      <c r="B246">
        <v>45566</v>
      </c>
      <c r="C246">
        <v>17</v>
      </c>
      <c r="D246">
        <v>7</v>
      </c>
      <c r="E246">
        <v>205.3</v>
      </c>
      <c r="F246">
        <v>4</v>
      </c>
      <c r="H246">
        <v>762.2</v>
      </c>
    </row>
    <row r="247" spans="1:8" x14ac:dyDescent="0.3">
      <c r="A247">
        <v>0</v>
      </c>
      <c r="B247">
        <v>45566</v>
      </c>
      <c r="C247">
        <v>35</v>
      </c>
      <c r="D247">
        <v>6</v>
      </c>
      <c r="E247">
        <v>544.78</v>
      </c>
      <c r="F247">
        <v>5</v>
      </c>
      <c r="H247">
        <v>3420.99</v>
      </c>
    </row>
    <row r="248" spans="1:8" x14ac:dyDescent="0.3">
      <c r="A248">
        <v>0</v>
      </c>
      <c r="B248">
        <v>45566</v>
      </c>
      <c r="C248">
        <v>73</v>
      </c>
      <c r="D248">
        <v>17</v>
      </c>
      <c r="E248">
        <v>557.29999999999995</v>
      </c>
      <c r="F248">
        <v>3</v>
      </c>
      <c r="H248">
        <v>376.66</v>
      </c>
    </row>
    <row r="249" spans="1:8" x14ac:dyDescent="0.3">
      <c r="A249">
        <v>0</v>
      </c>
      <c r="B249">
        <v>45566</v>
      </c>
      <c r="C249">
        <v>27</v>
      </c>
      <c r="D249">
        <v>6</v>
      </c>
      <c r="E249">
        <v>202.37</v>
      </c>
      <c r="F249">
        <v>1</v>
      </c>
      <c r="H249">
        <v>3781.81</v>
      </c>
    </row>
    <row r="250" spans="1:8" x14ac:dyDescent="0.3">
      <c r="A250">
        <v>0</v>
      </c>
      <c r="B250">
        <v>45566</v>
      </c>
      <c r="C250">
        <v>49</v>
      </c>
      <c r="D250">
        <v>7</v>
      </c>
      <c r="E250">
        <v>204.14</v>
      </c>
      <c r="F250">
        <v>3</v>
      </c>
      <c r="H250">
        <v>636.65</v>
      </c>
    </row>
    <row r="251" spans="1:8" x14ac:dyDescent="0.3">
      <c r="A251">
        <v>0</v>
      </c>
      <c r="B251">
        <v>45566</v>
      </c>
      <c r="C251">
        <v>106</v>
      </c>
      <c r="D251">
        <v>5</v>
      </c>
      <c r="E251">
        <v>163.38</v>
      </c>
      <c r="F251">
        <v>1</v>
      </c>
      <c r="H251">
        <v>1148.1400000000001</v>
      </c>
    </row>
    <row r="252" spans="1:8" x14ac:dyDescent="0.3">
      <c r="A252">
        <v>0</v>
      </c>
      <c r="B252">
        <v>45566</v>
      </c>
      <c r="C252">
        <v>102</v>
      </c>
      <c r="D252">
        <v>5</v>
      </c>
      <c r="E252">
        <v>86.37</v>
      </c>
      <c r="F252">
        <v>5</v>
      </c>
      <c r="H252">
        <v>3851.19</v>
      </c>
    </row>
    <row r="253" spans="1:8" x14ac:dyDescent="0.3">
      <c r="A253">
        <v>0</v>
      </c>
      <c r="B253">
        <v>45566</v>
      </c>
      <c r="C253">
        <v>21</v>
      </c>
      <c r="D253">
        <v>14</v>
      </c>
      <c r="E253">
        <v>537.36</v>
      </c>
      <c r="F253">
        <v>7</v>
      </c>
      <c r="H253">
        <v>3767.78</v>
      </c>
    </row>
    <row r="254" spans="1:8" x14ac:dyDescent="0.3">
      <c r="A254">
        <v>0</v>
      </c>
      <c r="B254">
        <v>45566</v>
      </c>
      <c r="C254">
        <v>104</v>
      </c>
      <c r="D254">
        <v>20</v>
      </c>
      <c r="E254">
        <v>181.9</v>
      </c>
      <c r="F254">
        <v>4</v>
      </c>
      <c r="H254">
        <v>400.92</v>
      </c>
    </row>
    <row r="255" spans="1:8" x14ac:dyDescent="0.3">
      <c r="A255">
        <v>0</v>
      </c>
      <c r="B255">
        <v>45566</v>
      </c>
      <c r="C255">
        <v>64</v>
      </c>
      <c r="D255">
        <v>15</v>
      </c>
      <c r="E255">
        <v>514.38</v>
      </c>
      <c r="F255">
        <v>0</v>
      </c>
      <c r="H255">
        <v>1220.5899999999999</v>
      </c>
    </row>
    <row r="256" spans="1:8" x14ac:dyDescent="0.3">
      <c r="A256">
        <v>0</v>
      </c>
      <c r="B256">
        <v>45566</v>
      </c>
      <c r="C256">
        <v>21</v>
      </c>
      <c r="D256">
        <v>15</v>
      </c>
      <c r="E256">
        <v>309.75</v>
      </c>
      <c r="F256">
        <v>2</v>
      </c>
      <c r="H256">
        <v>1649.09</v>
      </c>
    </row>
    <row r="257" spans="1:8" x14ac:dyDescent="0.3">
      <c r="A257">
        <v>0</v>
      </c>
      <c r="B257">
        <v>45566</v>
      </c>
      <c r="C257">
        <v>108</v>
      </c>
      <c r="D257">
        <v>6</v>
      </c>
      <c r="E257">
        <v>515.27</v>
      </c>
      <c r="F257">
        <v>2</v>
      </c>
      <c r="H257">
        <v>3183.87</v>
      </c>
    </row>
    <row r="258" spans="1:8" x14ac:dyDescent="0.3">
      <c r="A258">
        <v>0</v>
      </c>
      <c r="B258">
        <v>45566</v>
      </c>
      <c r="C258">
        <v>63</v>
      </c>
      <c r="D258">
        <v>10</v>
      </c>
      <c r="E258">
        <v>194.21</v>
      </c>
      <c r="F258">
        <v>7</v>
      </c>
      <c r="H258">
        <v>508.84</v>
      </c>
    </row>
    <row r="259" spans="1:8" x14ac:dyDescent="0.3">
      <c r="A259">
        <v>0</v>
      </c>
      <c r="B259">
        <v>45566</v>
      </c>
      <c r="C259">
        <v>85</v>
      </c>
      <c r="D259">
        <v>15</v>
      </c>
      <c r="E259">
        <v>400.65</v>
      </c>
      <c r="F259">
        <v>0</v>
      </c>
      <c r="H259">
        <v>2890.62</v>
      </c>
    </row>
    <row r="260" spans="1:8" x14ac:dyDescent="0.3">
      <c r="A260">
        <v>0</v>
      </c>
      <c r="B260">
        <v>45566</v>
      </c>
      <c r="C260">
        <v>36</v>
      </c>
      <c r="D260">
        <v>10</v>
      </c>
      <c r="E260">
        <v>535.44000000000005</v>
      </c>
      <c r="F260">
        <v>4</v>
      </c>
      <c r="H260">
        <v>241.26</v>
      </c>
    </row>
    <row r="261" spans="1:8" x14ac:dyDescent="0.3">
      <c r="A261">
        <v>0</v>
      </c>
      <c r="B261">
        <v>45566</v>
      </c>
      <c r="C261">
        <v>34</v>
      </c>
      <c r="D261">
        <v>12</v>
      </c>
      <c r="E261">
        <v>356.4</v>
      </c>
      <c r="F261">
        <v>8</v>
      </c>
      <c r="H261">
        <v>4111.76</v>
      </c>
    </row>
    <row r="262" spans="1:8" x14ac:dyDescent="0.3">
      <c r="A262">
        <v>0</v>
      </c>
      <c r="B262">
        <v>45597</v>
      </c>
      <c r="C262">
        <v>67</v>
      </c>
      <c r="D262">
        <v>12</v>
      </c>
      <c r="E262">
        <v>352.6</v>
      </c>
      <c r="F262">
        <v>6</v>
      </c>
      <c r="H262">
        <v>4402.41</v>
      </c>
    </row>
    <row r="263" spans="1:8" x14ac:dyDescent="0.3">
      <c r="A263">
        <v>0</v>
      </c>
      <c r="B263">
        <v>45597</v>
      </c>
      <c r="C263">
        <v>76</v>
      </c>
      <c r="D263">
        <v>14</v>
      </c>
      <c r="E263">
        <v>351.42</v>
      </c>
      <c r="F263">
        <v>4</v>
      </c>
      <c r="H263">
        <v>3917.99</v>
      </c>
    </row>
    <row r="264" spans="1:8" x14ac:dyDescent="0.3">
      <c r="A264">
        <v>0</v>
      </c>
      <c r="B264">
        <v>45597</v>
      </c>
      <c r="C264">
        <v>53</v>
      </c>
      <c r="D264">
        <v>17</v>
      </c>
      <c r="E264">
        <v>404.22</v>
      </c>
      <c r="F264">
        <v>2</v>
      </c>
      <c r="H264">
        <v>3669.4</v>
      </c>
    </row>
    <row r="265" spans="1:8" x14ac:dyDescent="0.3">
      <c r="A265">
        <v>0</v>
      </c>
      <c r="B265">
        <v>45597</v>
      </c>
      <c r="C265">
        <v>22</v>
      </c>
      <c r="D265">
        <v>6</v>
      </c>
      <c r="E265">
        <v>80.02</v>
      </c>
      <c r="F265">
        <v>3</v>
      </c>
      <c r="H265">
        <v>1476.69</v>
      </c>
    </row>
    <row r="266" spans="1:8" x14ac:dyDescent="0.3">
      <c r="A266">
        <v>0</v>
      </c>
      <c r="B266">
        <v>45597</v>
      </c>
      <c r="C266">
        <v>77</v>
      </c>
      <c r="D266">
        <v>16</v>
      </c>
      <c r="E266">
        <v>502.41</v>
      </c>
      <c r="F266">
        <v>5</v>
      </c>
      <c r="H266">
        <v>1093.75</v>
      </c>
    </row>
    <row r="267" spans="1:8" x14ac:dyDescent="0.3">
      <c r="A267">
        <v>0</v>
      </c>
      <c r="B267">
        <v>45597</v>
      </c>
      <c r="C267">
        <v>52</v>
      </c>
      <c r="D267">
        <v>6</v>
      </c>
      <c r="E267">
        <v>492.23</v>
      </c>
      <c r="F267">
        <v>2</v>
      </c>
      <c r="H267">
        <v>3775.84</v>
      </c>
    </row>
    <row r="268" spans="1:8" x14ac:dyDescent="0.3">
      <c r="A268">
        <v>0</v>
      </c>
      <c r="B268">
        <v>45597</v>
      </c>
      <c r="C268">
        <v>74</v>
      </c>
      <c r="D268">
        <v>17</v>
      </c>
      <c r="E268">
        <v>284.91000000000003</v>
      </c>
      <c r="F268">
        <v>3</v>
      </c>
      <c r="H268">
        <v>2481.64</v>
      </c>
    </row>
    <row r="269" spans="1:8" x14ac:dyDescent="0.3">
      <c r="A269">
        <v>0</v>
      </c>
      <c r="B269">
        <v>45597</v>
      </c>
      <c r="C269">
        <v>50</v>
      </c>
      <c r="D269">
        <v>9</v>
      </c>
      <c r="E269">
        <v>237.95</v>
      </c>
      <c r="F269">
        <v>5</v>
      </c>
      <c r="H269">
        <v>3982.36</v>
      </c>
    </row>
    <row r="270" spans="1:8" x14ac:dyDescent="0.3">
      <c r="A270">
        <v>0</v>
      </c>
      <c r="B270">
        <v>45597</v>
      </c>
      <c r="C270">
        <v>30</v>
      </c>
      <c r="D270">
        <v>21</v>
      </c>
      <c r="E270">
        <v>372.34</v>
      </c>
      <c r="F270">
        <v>7</v>
      </c>
      <c r="H270">
        <v>1172.04</v>
      </c>
    </row>
    <row r="271" spans="1:8" x14ac:dyDescent="0.3">
      <c r="A271">
        <v>0</v>
      </c>
      <c r="B271">
        <v>45597</v>
      </c>
      <c r="C271">
        <v>74</v>
      </c>
      <c r="D271">
        <v>13</v>
      </c>
      <c r="E271">
        <v>324.77999999999997</v>
      </c>
      <c r="F271">
        <v>7</v>
      </c>
      <c r="H271">
        <v>995.6</v>
      </c>
    </row>
    <row r="272" spans="1:8" x14ac:dyDescent="0.3">
      <c r="A272">
        <v>0</v>
      </c>
      <c r="B272">
        <v>45597</v>
      </c>
      <c r="C272">
        <v>23</v>
      </c>
      <c r="D272">
        <v>7</v>
      </c>
      <c r="E272">
        <v>190.12</v>
      </c>
      <c r="F272">
        <v>4</v>
      </c>
      <c r="H272">
        <v>788.65</v>
      </c>
    </row>
    <row r="273" spans="1:8" x14ac:dyDescent="0.3">
      <c r="A273">
        <v>0</v>
      </c>
      <c r="B273">
        <v>45597</v>
      </c>
      <c r="C273">
        <v>32</v>
      </c>
      <c r="D273">
        <v>7</v>
      </c>
      <c r="E273">
        <v>563.41999999999996</v>
      </c>
      <c r="F273">
        <v>6</v>
      </c>
      <c r="H273">
        <v>3543.71</v>
      </c>
    </row>
    <row r="274" spans="1:8" x14ac:dyDescent="0.3">
      <c r="A274">
        <v>0</v>
      </c>
      <c r="B274">
        <v>45597</v>
      </c>
      <c r="C274">
        <v>59</v>
      </c>
      <c r="D274">
        <v>21</v>
      </c>
      <c r="E274">
        <v>633.37</v>
      </c>
      <c r="F274">
        <v>2</v>
      </c>
      <c r="H274">
        <v>358.29</v>
      </c>
    </row>
    <row r="275" spans="1:8" x14ac:dyDescent="0.3">
      <c r="A275">
        <v>0</v>
      </c>
      <c r="B275">
        <v>45597</v>
      </c>
      <c r="C275">
        <v>30</v>
      </c>
      <c r="D275">
        <v>6</v>
      </c>
      <c r="E275">
        <v>209.84</v>
      </c>
      <c r="F275">
        <v>1</v>
      </c>
      <c r="H275">
        <v>3534.1</v>
      </c>
    </row>
    <row r="276" spans="1:8" x14ac:dyDescent="0.3">
      <c r="A276">
        <v>0</v>
      </c>
      <c r="B276">
        <v>45597</v>
      </c>
      <c r="C276">
        <v>65</v>
      </c>
      <c r="D276">
        <v>9</v>
      </c>
      <c r="E276">
        <v>220.46</v>
      </c>
      <c r="F276">
        <v>3</v>
      </c>
      <c r="H276">
        <v>707.75</v>
      </c>
    </row>
    <row r="277" spans="1:8" x14ac:dyDescent="0.3">
      <c r="A277">
        <v>0</v>
      </c>
      <c r="B277">
        <v>45597</v>
      </c>
      <c r="C277">
        <v>100</v>
      </c>
      <c r="D277">
        <v>6</v>
      </c>
      <c r="E277">
        <v>153.34</v>
      </c>
      <c r="F277">
        <v>3</v>
      </c>
      <c r="H277">
        <v>1248.54</v>
      </c>
    </row>
    <row r="278" spans="1:8" x14ac:dyDescent="0.3">
      <c r="A278">
        <v>0</v>
      </c>
      <c r="B278">
        <v>45597</v>
      </c>
      <c r="C278">
        <v>81</v>
      </c>
      <c r="D278">
        <v>7</v>
      </c>
      <c r="E278">
        <v>79.62</v>
      </c>
      <c r="F278">
        <v>7</v>
      </c>
      <c r="H278">
        <v>3892.76</v>
      </c>
    </row>
    <row r="279" spans="1:8" x14ac:dyDescent="0.3">
      <c r="A279">
        <v>0</v>
      </c>
      <c r="B279">
        <v>45597</v>
      </c>
      <c r="C279">
        <v>26</v>
      </c>
      <c r="D279">
        <v>17</v>
      </c>
      <c r="E279">
        <v>504.54</v>
      </c>
      <c r="F279">
        <v>8</v>
      </c>
      <c r="H279">
        <v>3359.77</v>
      </c>
    </row>
    <row r="280" spans="1:8" x14ac:dyDescent="0.3">
      <c r="A280">
        <v>0</v>
      </c>
      <c r="B280">
        <v>45597</v>
      </c>
      <c r="C280">
        <v>96</v>
      </c>
      <c r="D280">
        <v>16</v>
      </c>
      <c r="E280">
        <v>161.69</v>
      </c>
      <c r="F280">
        <v>5</v>
      </c>
      <c r="H280">
        <v>392.05</v>
      </c>
    </row>
    <row r="281" spans="1:8" x14ac:dyDescent="0.3">
      <c r="A281">
        <v>0</v>
      </c>
      <c r="B281">
        <v>45597</v>
      </c>
      <c r="C281">
        <v>72</v>
      </c>
      <c r="D281">
        <v>12</v>
      </c>
      <c r="E281">
        <v>474.28</v>
      </c>
      <c r="F281">
        <v>1</v>
      </c>
      <c r="H281">
        <v>1097.5999999999999</v>
      </c>
    </row>
    <row r="282" spans="1:8" x14ac:dyDescent="0.3">
      <c r="A282">
        <v>0</v>
      </c>
      <c r="B282">
        <v>45597</v>
      </c>
      <c r="C282">
        <v>18</v>
      </c>
      <c r="D282">
        <v>15</v>
      </c>
      <c r="E282">
        <v>268.94</v>
      </c>
      <c r="F282">
        <v>1</v>
      </c>
      <c r="H282">
        <v>1469.71</v>
      </c>
    </row>
    <row r="283" spans="1:8" x14ac:dyDescent="0.3">
      <c r="A283">
        <v>0</v>
      </c>
      <c r="B283">
        <v>45597</v>
      </c>
      <c r="C283">
        <v>87</v>
      </c>
      <c r="D283">
        <v>5</v>
      </c>
      <c r="E283">
        <v>601.28</v>
      </c>
      <c r="F283">
        <v>2</v>
      </c>
      <c r="H283">
        <v>3491.19</v>
      </c>
    </row>
    <row r="284" spans="1:8" x14ac:dyDescent="0.3">
      <c r="A284">
        <v>0</v>
      </c>
      <c r="B284">
        <v>45597</v>
      </c>
      <c r="C284">
        <v>73</v>
      </c>
      <c r="D284">
        <v>8</v>
      </c>
      <c r="E284">
        <v>182.48</v>
      </c>
      <c r="F284">
        <v>8</v>
      </c>
      <c r="H284">
        <v>548.46</v>
      </c>
    </row>
    <row r="285" spans="1:8" x14ac:dyDescent="0.3">
      <c r="A285">
        <v>0</v>
      </c>
      <c r="B285">
        <v>45597</v>
      </c>
      <c r="C285">
        <v>97</v>
      </c>
      <c r="D285">
        <v>14</v>
      </c>
      <c r="E285">
        <v>368.16</v>
      </c>
      <c r="F285">
        <v>0</v>
      </c>
      <c r="H285">
        <v>3020.19</v>
      </c>
    </row>
    <row r="286" spans="1:8" x14ac:dyDescent="0.3">
      <c r="A286">
        <v>0</v>
      </c>
      <c r="B286">
        <v>45597</v>
      </c>
      <c r="C286">
        <v>28</v>
      </c>
      <c r="D286">
        <v>12</v>
      </c>
      <c r="E286">
        <v>565.51</v>
      </c>
      <c r="F286">
        <v>4</v>
      </c>
      <c r="H286">
        <v>231.16</v>
      </c>
    </row>
    <row r="287" spans="1:8" x14ac:dyDescent="0.3">
      <c r="A287">
        <v>0</v>
      </c>
      <c r="B287">
        <v>45597</v>
      </c>
      <c r="C287">
        <v>41</v>
      </c>
      <c r="D287">
        <v>13</v>
      </c>
      <c r="E287">
        <v>370.44</v>
      </c>
      <c r="F287">
        <v>9</v>
      </c>
      <c r="H287">
        <v>4484.96</v>
      </c>
    </row>
    <row r="288" spans="1:8" x14ac:dyDescent="0.3">
      <c r="A288">
        <v>0</v>
      </c>
      <c r="B288">
        <v>45627</v>
      </c>
      <c r="C288">
        <v>61</v>
      </c>
      <c r="D288">
        <v>13</v>
      </c>
      <c r="E288">
        <v>356.61</v>
      </c>
      <c r="F288">
        <v>7</v>
      </c>
      <c r="H288">
        <v>4099.6400000000003</v>
      </c>
    </row>
    <row r="289" spans="1:8" x14ac:dyDescent="0.3">
      <c r="A289">
        <v>0</v>
      </c>
      <c r="B289">
        <v>45627</v>
      </c>
      <c r="C289">
        <v>80</v>
      </c>
      <c r="D289">
        <v>13</v>
      </c>
      <c r="E289">
        <v>369.46</v>
      </c>
      <c r="F289">
        <v>4</v>
      </c>
      <c r="H289">
        <v>3996.04</v>
      </c>
    </row>
    <row r="290" spans="1:8" x14ac:dyDescent="0.3">
      <c r="A290">
        <v>0</v>
      </c>
      <c r="B290">
        <v>45627</v>
      </c>
      <c r="C290">
        <v>51</v>
      </c>
      <c r="D290">
        <v>14</v>
      </c>
      <c r="E290">
        <v>419.93</v>
      </c>
      <c r="F290">
        <v>2</v>
      </c>
      <c r="H290">
        <v>3543.6</v>
      </c>
    </row>
    <row r="291" spans="1:8" x14ac:dyDescent="0.3">
      <c r="A291">
        <v>0</v>
      </c>
      <c r="B291">
        <v>45627</v>
      </c>
      <c r="C291">
        <v>20</v>
      </c>
      <c r="D291">
        <v>5</v>
      </c>
      <c r="E291">
        <v>71.41</v>
      </c>
      <c r="F291">
        <v>3</v>
      </c>
      <c r="H291">
        <v>1527.27</v>
      </c>
    </row>
    <row r="292" spans="1:8" x14ac:dyDescent="0.3">
      <c r="A292">
        <v>0</v>
      </c>
      <c r="B292">
        <v>45627</v>
      </c>
      <c r="C292">
        <v>101</v>
      </c>
      <c r="D292">
        <v>14</v>
      </c>
      <c r="E292">
        <v>503.93</v>
      </c>
      <c r="F292">
        <v>5</v>
      </c>
      <c r="H292">
        <v>1116.6099999999999</v>
      </c>
    </row>
    <row r="293" spans="1:8" x14ac:dyDescent="0.3">
      <c r="A293">
        <v>0</v>
      </c>
      <c r="B293">
        <v>45627</v>
      </c>
      <c r="C293">
        <v>70</v>
      </c>
      <c r="D293">
        <v>6</v>
      </c>
      <c r="E293">
        <v>488.97</v>
      </c>
      <c r="F293">
        <v>3</v>
      </c>
      <c r="H293">
        <v>3767.09</v>
      </c>
    </row>
    <row r="294" spans="1:8" x14ac:dyDescent="0.3">
      <c r="A294">
        <v>0</v>
      </c>
      <c r="B294">
        <v>45627</v>
      </c>
      <c r="C294">
        <v>84</v>
      </c>
      <c r="D294">
        <v>19</v>
      </c>
      <c r="E294">
        <v>301.2</v>
      </c>
      <c r="F294">
        <v>2</v>
      </c>
      <c r="H294">
        <v>2608.4699999999998</v>
      </c>
    </row>
    <row r="295" spans="1:8" x14ac:dyDescent="0.3">
      <c r="A295">
        <v>0</v>
      </c>
      <c r="B295">
        <v>45627</v>
      </c>
      <c r="C295">
        <v>50</v>
      </c>
      <c r="D295">
        <v>6</v>
      </c>
      <c r="E295">
        <v>219.19</v>
      </c>
      <c r="F295">
        <v>4</v>
      </c>
      <c r="H295">
        <v>3836.95</v>
      </c>
    </row>
    <row r="296" spans="1:8" x14ac:dyDescent="0.3">
      <c r="A296">
        <v>0</v>
      </c>
      <c r="B296">
        <v>45627</v>
      </c>
      <c r="C296">
        <v>28</v>
      </c>
      <c r="D296">
        <v>19</v>
      </c>
      <c r="E296">
        <v>352.06</v>
      </c>
      <c r="F296">
        <v>9</v>
      </c>
      <c r="H296">
        <v>1107.51</v>
      </c>
    </row>
    <row r="297" spans="1:8" x14ac:dyDescent="0.3">
      <c r="A297">
        <v>0</v>
      </c>
      <c r="B297">
        <v>45627</v>
      </c>
      <c r="C297">
        <v>69</v>
      </c>
      <c r="D297">
        <v>16</v>
      </c>
      <c r="E297">
        <v>337.7</v>
      </c>
      <c r="F297">
        <v>9</v>
      </c>
      <c r="H297">
        <v>947.47</v>
      </c>
    </row>
    <row r="298" spans="1:8" x14ac:dyDescent="0.3">
      <c r="A298">
        <v>0</v>
      </c>
      <c r="B298">
        <v>45627</v>
      </c>
      <c r="C298">
        <v>18</v>
      </c>
      <c r="D298">
        <v>6</v>
      </c>
      <c r="E298">
        <v>212.39</v>
      </c>
      <c r="F298">
        <v>3</v>
      </c>
      <c r="H298">
        <v>730.81</v>
      </c>
    </row>
    <row r="299" spans="1:8" x14ac:dyDescent="0.3">
      <c r="A299">
        <v>0</v>
      </c>
      <c r="B299">
        <v>45627</v>
      </c>
      <c r="C299">
        <v>40</v>
      </c>
      <c r="D299">
        <v>7</v>
      </c>
      <c r="E299">
        <v>486.93</v>
      </c>
      <c r="F299">
        <v>7</v>
      </c>
      <c r="H299">
        <v>3643.63</v>
      </c>
    </row>
    <row r="300" spans="1:8" x14ac:dyDescent="0.3">
      <c r="A300">
        <v>0</v>
      </c>
      <c r="B300">
        <v>45627</v>
      </c>
      <c r="C300">
        <v>77</v>
      </c>
      <c r="D300">
        <v>16</v>
      </c>
      <c r="E300">
        <v>539.26</v>
      </c>
      <c r="F300">
        <v>3</v>
      </c>
      <c r="H300">
        <v>379.83</v>
      </c>
    </row>
    <row r="301" spans="1:8" x14ac:dyDescent="0.3">
      <c r="A301">
        <v>0</v>
      </c>
      <c r="B301">
        <v>45627</v>
      </c>
      <c r="C301">
        <v>31</v>
      </c>
      <c r="D301">
        <v>6</v>
      </c>
      <c r="E301">
        <v>191.66</v>
      </c>
      <c r="F301">
        <v>2</v>
      </c>
      <c r="H301">
        <v>3753.06</v>
      </c>
    </row>
    <row r="302" spans="1:8" x14ac:dyDescent="0.3">
      <c r="A302">
        <v>0</v>
      </c>
      <c r="B302">
        <v>45627</v>
      </c>
      <c r="C302">
        <v>57</v>
      </c>
      <c r="D302">
        <v>7</v>
      </c>
      <c r="E302">
        <v>190.08</v>
      </c>
      <c r="F302">
        <v>2</v>
      </c>
      <c r="H302">
        <v>649.97</v>
      </c>
    </row>
    <row r="303" spans="1:8" x14ac:dyDescent="0.3">
      <c r="A303">
        <v>0</v>
      </c>
      <c r="B303">
        <v>45627</v>
      </c>
      <c r="C303">
        <v>88</v>
      </c>
      <c r="D303">
        <v>5</v>
      </c>
      <c r="E303">
        <v>168.89</v>
      </c>
      <c r="F303">
        <v>3</v>
      </c>
      <c r="H303">
        <v>1153.93</v>
      </c>
    </row>
    <row r="304" spans="1:8" x14ac:dyDescent="0.3">
      <c r="A304">
        <v>0</v>
      </c>
      <c r="B304">
        <v>45627</v>
      </c>
      <c r="C304">
        <v>74</v>
      </c>
      <c r="D304">
        <v>6</v>
      </c>
      <c r="E304">
        <v>87.83</v>
      </c>
      <c r="F304">
        <v>6</v>
      </c>
      <c r="H304">
        <v>3741.27</v>
      </c>
    </row>
    <row r="305" spans="1:8" x14ac:dyDescent="0.3">
      <c r="A305">
        <v>0</v>
      </c>
      <c r="B305">
        <v>45627</v>
      </c>
      <c r="C305">
        <v>26</v>
      </c>
      <c r="D305">
        <v>13</v>
      </c>
      <c r="E305">
        <v>543.15</v>
      </c>
      <c r="F305">
        <v>6</v>
      </c>
      <c r="H305">
        <v>3793.56</v>
      </c>
    </row>
    <row r="306" spans="1:8" x14ac:dyDescent="0.3">
      <c r="A306">
        <v>0</v>
      </c>
      <c r="B306">
        <v>45627</v>
      </c>
      <c r="C306">
        <v>99</v>
      </c>
      <c r="D306">
        <v>15</v>
      </c>
      <c r="E306">
        <v>181.12</v>
      </c>
      <c r="F306">
        <v>5</v>
      </c>
      <c r="H306">
        <v>454.09</v>
      </c>
    </row>
    <row r="307" spans="1:8" x14ac:dyDescent="0.3">
      <c r="A307">
        <v>0</v>
      </c>
      <c r="B307">
        <v>45627</v>
      </c>
      <c r="C307">
        <v>74</v>
      </c>
      <c r="D307">
        <v>14</v>
      </c>
      <c r="E307">
        <v>508.85</v>
      </c>
      <c r="F307">
        <v>1</v>
      </c>
      <c r="H307">
        <v>1182.6300000000001</v>
      </c>
    </row>
    <row r="308" spans="1:8" x14ac:dyDescent="0.3">
      <c r="A308">
        <v>0</v>
      </c>
      <c r="B308">
        <v>45627</v>
      </c>
      <c r="C308">
        <v>21</v>
      </c>
      <c r="D308">
        <v>17</v>
      </c>
      <c r="E308">
        <v>297.83999999999997</v>
      </c>
      <c r="F308">
        <v>1</v>
      </c>
      <c r="H308">
        <v>1553.7</v>
      </c>
    </row>
    <row r="309" spans="1:8" x14ac:dyDescent="0.3">
      <c r="A309">
        <v>0</v>
      </c>
      <c r="B309">
        <v>45627</v>
      </c>
      <c r="C309">
        <v>94</v>
      </c>
      <c r="D309">
        <v>6</v>
      </c>
      <c r="E309">
        <v>537.26</v>
      </c>
      <c r="F309">
        <v>1</v>
      </c>
      <c r="H309">
        <v>3665.55</v>
      </c>
    </row>
    <row r="310" spans="1:8" x14ac:dyDescent="0.3">
      <c r="A310">
        <v>0</v>
      </c>
      <c r="B310">
        <v>45627</v>
      </c>
      <c r="C310">
        <v>83</v>
      </c>
      <c r="D310">
        <v>9</v>
      </c>
      <c r="E310">
        <v>188.49</v>
      </c>
      <c r="F310">
        <v>7</v>
      </c>
      <c r="H310">
        <v>545.09</v>
      </c>
    </row>
    <row r="311" spans="1:8" x14ac:dyDescent="0.3">
      <c r="A311">
        <v>0</v>
      </c>
      <c r="B311">
        <v>45627</v>
      </c>
      <c r="C311">
        <v>84</v>
      </c>
      <c r="D311">
        <v>14</v>
      </c>
      <c r="E311">
        <v>370.36</v>
      </c>
      <c r="F311">
        <v>0</v>
      </c>
      <c r="H311">
        <v>2605.02</v>
      </c>
    </row>
    <row r="312" spans="1:8" x14ac:dyDescent="0.3">
      <c r="A312">
        <v>0</v>
      </c>
      <c r="B312">
        <v>45627</v>
      </c>
      <c r="C312">
        <v>32</v>
      </c>
      <c r="D312">
        <v>10</v>
      </c>
      <c r="E312">
        <v>500.83</v>
      </c>
      <c r="F312">
        <v>4</v>
      </c>
      <c r="H312">
        <v>239.13</v>
      </c>
    </row>
    <row r="313" spans="1:8" x14ac:dyDescent="0.3">
      <c r="A313">
        <v>0</v>
      </c>
      <c r="B313">
        <v>45627</v>
      </c>
      <c r="C313">
        <v>39</v>
      </c>
      <c r="D313">
        <v>15</v>
      </c>
      <c r="E313">
        <v>319.08999999999997</v>
      </c>
      <c r="F313">
        <v>7</v>
      </c>
      <c r="H313">
        <v>4573.5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F451-C31A-418F-B583-814440D867DA}">
  <dimension ref="A22"/>
  <sheetViews>
    <sheetView workbookViewId="0">
      <selection activeCell="L17" sqref="L17"/>
    </sheetView>
  </sheetViews>
  <sheetFormatPr defaultRowHeight="14.4" x14ac:dyDescent="0.3"/>
  <sheetData>
    <row r="22" spans="1:1" x14ac:dyDescent="0.3">
      <c r="A22" s="14" t="s">
        <v>53</v>
      </c>
    </row>
  </sheetData>
  <hyperlinks>
    <hyperlink ref="A22" r:id="rId1" xr:uid="{88045131-28AF-41BA-B3DB-3A35A0E8F67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Strona tytułowa</vt:lpstr>
      <vt:lpstr>Raport</vt:lpstr>
      <vt:lpstr>Cel</vt:lpstr>
      <vt:lpstr>Analza</vt:lpstr>
      <vt:lpstr>Dane</vt:lpstr>
      <vt:lpstr>Ściąga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Samel</dc:creator>
  <cp:lastModifiedBy>Bartłomiej Samel</cp:lastModifiedBy>
  <dcterms:created xsi:type="dcterms:W3CDTF">2026-08-17T04:24:06Z</dcterms:created>
  <dcterms:modified xsi:type="dcterms:W3CDTF">2026-08-17T06:39:45Z</dcterms:modified>
</cp:coreProperties>
</file>